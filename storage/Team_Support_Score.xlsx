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.sharepoint.com/sites/AI_Solutions/Shared Documents/JnJ/PMO/"/>
    </mc:Choice>
  </mc:AlternateContent>
  <xr:revisionPtr revIDLastSave="1106" documentId="8_{4007880D-1DE2-4CFF-A96B-16F75AE3DA71}" xr6:coauthVersionLast="47" xr6:coauthVersionMax="47" xr10:uidLastSave="{DB13E040-A7D3-4164-B743-915DE43F54E2}"/>
  <bookViews>
    <workbookView xWindow="-110" yWindow="-110" windowWidth="19420" windowHeight="10300" firstSheet="2" activeTab="4" xr2:uid="{6312DA0E-6674-4611-B982-B02A07F80322}"/>
  </bookViews>
  <sheets>
    <sheet name="Sheet1" sheetId="1" r:id="rId1"/>
    <sheet name="Learn a skill - and Train the t" sheetId="2" r:id="rId2"/>
    <sheet name="Tools and Access" sheetId="4" r:id="rId3"/>
    <sheet name="Capability" sheetId="6" r:id="rId4"/>
    <sheet name="Project Plan" sheetId="8" r:id="rId5"/>
    <sheet name="Sheet3" sheetId="9" r:id="rId6"/>
    <sheet name="Email Data flow" sheetId="10" r:id="rId7"/>
    <sheet name="lookup" sheetId="3" r:id="rId8"/>
    <sheet name="Tagging Details" sheetId="5" r:id="rId9"/>
    <sheet name="Wireframe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7" l="1"/>
  <c r="M15" i="7" s="1"/>
  <c r="N15" i="7" s="1"/>
</calcChain>
</file>

<file path=xl/sharedStrings.xml><?xml version="1.0" encoding="utf-8"?>
<sst xmlns="http://schemas.openxmlformats.org/spreadsheetml/2006/main" count="1004" uniqueCount="664">
  <si>
    <t>Swata</t>
  </si>
  <si>
    <t>Aishi</t>
  </si>
  <si>
    <t>Nachiketa</t>
  </si>
  <si>
    <t>Pranav</t>
  </si>
  <si>
    <t>Srijani</t>
  </si>
  <si>
    <t>Abhiraj</t>
  </si>
  <si>
    <t>Soumalya Pal</t>
  </si>
  <si>
    <t>SWOT</t>
  </si>
  <si>
    <t>Install IDE  and Python</t>
  </si>
  <si>
    <t>GITHUB ID creation with Wipro credentials</t>
  </si>
  <si>
    <t>Learn a skill - and Train the team</t>
  </si>
  <si>
    <t>Topics How to ?</t>
  </si>
  <si>
    <t>Description- Brief</t>
  </si>
  <si>
    <t>Selected by</t>
  </si>
  <si>
    <t>Scheduled date of Presentation / DEMO</t>
  </si>
  <si>
    <t>No: of Participants</t>
  </si>
  <si>
    <t>Feedback Score</t>
  </si>
  <si>
    <t>How to ????</t>
  </si>
  <si>
    <t>Swata Dey</t>
  </si>
  <si>
    <t>Names</t>
  </si>
  <si>
    <t>Frontend</t>
  </si>
  <si>
    <t>SCRIPTING</t>
  </si>
  <si>
    <t>API</t>
  </si>
  <si>
    <t>DB</t>
  </si>
  <si>
    <t>Azure Foundary</t>
  </si>
  <si>
    <t>Agentic AI</t>
  </si>
  <si>
    <t>GITHUB</t>
  </si>
  <si>
    <t xml:space="preserve">Learning Series </t>
  </si>
  <si>
    <t>React</t>
  </si>
  <si>
    <t>HTML</t>
  </si>
  <si>
    <t>ASPX</t>
  </si>
  <si>
    <t>java</t>
  </si>
  <si>
    <t>linux</t>
  </si>
  <si>
    <t>Fast API</t>
  </si>
  <si>
    <t>Graph API</t>
  </si>
  <si>
    <t>POSTGRE SQL</t>
  </si>
  <si>
    <t>MS-SQL</t>
  </si>
  <si>
    <t>MYSQL</t>
  </si>
  <si>
    <t>NOSQL</t>
  </si>
  <si>
    <t>COPILOT</t>
  </si>
  <si>
    <t>CLAUDE</t>
  </si>
  <si>
    <t>NEMOTRON</t>
  </si>
  <si>
    <t>AbhirajSinghh</t>
  </si>
  <si>
    <t>Basics</t>
  </si>
  <si>
    <t>DRF</t>
  </si>
  <si>
    <t>Yes</t>
  </si>
  <si>
    <t>SwataDey1</t>
  </si>
  <si>
    <t>AG-20022</t>
  </si>
  <si>
    <t>REST API</t>
  </si>
  <si>
    <t>Pranav-1410</t>
  </si>
  <si>
    <t>SM-20033</t>
  </si>
  <si>
    <t>HTML5</t>
  </si>
  <si>
    <t>yes</t>
  </si>
  <si>
    <t xml:space="preserve">Intermidiate </t>
  </si>
  <si>
    <t>soumalya-03</t>
  </si>
  <si>
    <t xml:space="preserve">
PUSHPANSH MISHRA</t>
  </si>
  <si>
    <t>Basic</t>
  </si>
  <si>
    <t>pushpanshm</t>
  </si>
  <si>
    <t>Capabilities</t>
  </si>
  <si>
    <t>Request</t>
  </si>
  <si>
    <t>CRUD</t>
  </si>
  <si>
    <t>Capture Request</t>
  </si>
  <si>
    <t>SKILLS</t>
  </si>
  <si>
    <t>Respond to Request</t>
  </si>
  <si>
    <t>AGENTS</t>
  </si>
  <si>
    <t>Cannonical Structures</t>
  </si>
  <si>
    <t xml:space="preserve">Purpose- </t>
  </si>
  <si>
    <t>DESIGN</t>
  </si>
  <si>
    <t>DESIGN VALIDATE</t>
  </si>
  <si>
    <t>CODE</t>
  </si>
  <si>
    <t>BUILD</t>
  </si>
  <si>
    <t>Create a cannonical structure - for Access management using - &lt; ID, Password, Role, RBAC, CRUD, Policy id, tenancy id, rights&gt; - login, to authentication using API</t>
  </si>
  <si>
    <t xml:space="preserve">meeting, understand attributes of meeting  transcript - from, to , cc, sub's, contents in transcript,  actionables on contents, </t>
  </si>
  <si>
    <t xml:space="preserve">Classify email , understand attributes of email - from, to , cc, sub, contents in email,  from date, to date, status of reply, no: of communications to and from, initiated,date, </t>
  </si>
  <si>
    <t>UI- Password Authentication from Github using API, login to dashboard . 3 category selection  on UI &lt; company, contractor,vendor &gt; and navigate to UI Dashboard, displaying Dashboards, for 16 persona , with metrics in the bottom , and process links on the left and action frame on the right, - Workflow links on the top - showing status  of todo, done, wip, &lt;filter by No: of Days&gt;</t>
  </si>
  <si>
    <t xml:space="preserve">Chatbot- build a basic </t>
  </si>
  <si>
    <t>Persona</t>
  </si>
  <si>
    <t>EPICS</t>
  </si>
  <si>
    <t>Sub Epics</t>
  </si>
  <si>
    <t>Features</t>
  </si>
  <si>
    <t>Function</t>
  </si>
  <si>
    <t>Components</t>
  </si>
  <si>
    <t>Name</t>
  </si>
  <si>
    <t>date1</t>
  </si>
  <si>
    <t>date2</t>
  </si>
  <si>
    <t>date3</t>
  </si>
  <si>
    <t>Pushpansh Mishra</t>
  </si>
  <si>
    <t>Customer</t>
  </si>
  <si>
    <t>Chatbot</t>
  </si>
  <si>
    <t xml:space="preserve">UI - usecase- file upload and querying </t>
  </si>
  <si>
    <t>File Upload- Document Loader-Prasing/Cleaning</t>
  </si>
  <si>
    <t>File Upload ( Pdf/docs)</t>
  </si>
  <si>
    <t>Status of File Processing</t>
  </si>
  <si>
    <t>Loader - Document loading</t>
  </si>
  <si>
    <t>View of Retrieval - foirmat</t>
  </si>
  <si>
    <t>Parser - Text Extraction</t>
  </si>
  <si>
    <t>Query-&gt;</t>
  </si>
  <si>
    <t>Message - Questions to Engine - ???</t>
  </si>
  <si>
    <t>Chunker - split text</t>
  </si>
  <si>
    <t>Langchain</t>
  </si>
  <si>
    <t>Capture Response to Questions</t>
  </si>
  <si>
    <t>Embeddings - convert to vectors</t>
  </si>
  <si>
    <t>Langgraph-&gt;Orchestration/state</t>
  </si>
  <si>
    <t>Vector DB - store vectors</t>
  </si>
  <si>
    <t>Middleware</t>
  </si>
  <si>
    <t>Indexing of file to persona- user</t>
  </si>
  <si>
    <t>Retriever - Find relevant data</t>
  </si>
  <si>
    <t xml:space="preserve">Index storage of Message request and response </t>
  </si>
  <si>
    <t>Reranker - rank results</t>
  </si>
  <si>
    <t>Context Builder - Build Context about questions</t>
  </si>
  <si>
    <t>Database</t>
  </si>
  <si>
    <t>Chunks-Embeddings-Vector Data store- Retriever ?</t>
  </si>
  <si>
    <t>LLM/Agent - Generate Response</t>
  </si>
  <si>
    <t>Validation - Check response</t>
  </si>
  <si>
    <t>Answer - Generate Answers</t>
  </si>
  <si>
    <t>RAG</t>
  </si>
  <si>
    <t>Datastore- to file to save- Vector-Top K results</t>
  </si>
  <si>
    <t xml:space="preserve">Chunking - format defined for Role -  Responsibility- - Process name - Persona Name- </t>
  </si>
  <si>
    <t xml:space="preserve">Retrieval and display  format defined for Role -  Responsibility- - Process name - Persona Name- </t>
  </si>
  <si>
    <t>Short term Memory Management</t>
  </si>
  <si>
    <t>Middle Term Memory Management</t>
  </si>
  <si>
    <t>Long Term Memory management</t>
  </si>
  <si>
    <r>
      <rPr>
        <sz val="12"/>
        <color rgb="FF000000"/>
        <rFont val="Tenorite"/>
      </rPr>
      <t xml:space="preserve">Email - </t>
    </r>
    <r>
      <rPr>
        <sz val="12"/>
        <color rgb="FFFF0000"/>
        <rFont val="Tenorite"/>
      </rPr>
      <t>using Python + Microsoft Graph + Azure Functions + Entra App Registration</t>
    </r>
  </si>
  <si>
    <t xml:space="preserve">UI - usecase </t>
  </si>
  <si>
    <t>search option of Email</t>
  </si>
  <si>
    <t>Search and Filter</t>
  </si>
  <si>
    <t>Streamlit UI, Search Service</t>
  </si>
  <si>
    <t>Abhiraj Singh , SrijaniMajumder</t>
  </si>
  <si>
    <t xml:space="preserve">View of non responded or pending to be responded emails </t>
  </si>
  <si>
    <t>Reply Status Engine</t>
  </si>
  <si>
    <t>1. Customer sends email</t>
  </si>
  <si>
    <t>Search by From, To, CC and Subject</t>
  </si>
  <si>
    <t>Attribute Filter</t>
  </si>
  <si>
    <t>pandas, SQLite Query</t>
  </si>
  <si>
    <t>2. Outlook receives email</t>
  </si>
  <si>
    <t>View complete email conversation</t>
  </si>
  <si>
    <t>3. Graph API detects email</t>
  </si>
  <si>
    <t>Search between From Date and To Date</t>
  </si>
  <si>
    <t>Date Filter</t>
  </si>
  <si>
    <t>Date Parser, SQLite</t>
  </si>
  <si>
    <t>4. Azure Function triggers</t>
  </si>
  <si>
    <t>Ask questions about emails</t>
  </si>
  <si>
    <t>Query Processing</t>
  </si>
  <si>
    <t>5. Function downloads:</t>
  </si>
  <si>
    <t>- Subject</t>
  </si>
  <si>
    <t>Middle Ware</t>
  </si>
  <si>
    <t xml:space="preserve">Capture contents of email </t>
  </si>
  <si>
    <t>classify the email</t>
  </si>
  <si>
    <t>Pandas, SQLite Query</t>
  </si>
  <si>
    <t>- Body</t>
  </si>
  <si>
    <t>identify severity</t>
  </si>
  <si>
    <t>- Attachments</t>
  </si>
  <si>
    <t>forward email with additonal contents</t>
  </si>
  <si>
    <t>- Sender</t>
  </si>
  <si>
    <t>reply all with additional contents</t>
  </si>
  <si>
    <t>- Thread</t>
  </si>
  <si>
    <t>reply with additional contents</t>
  </si>
  <si>
    <t>Responses</t>
  </si>
  <si>
    <t>6. AI Classifier processes email</t>
  </si>
  <si>
    <t>Response using templates</t>
  </si>
  <si>
    <t>Response using SOP</t>
  </si>
  <si>
    <t>7. Knowledge retrieval (RAG)</t>
  </si>
  <si>
    <t>Response using Status from DB</t>
  </si>
  <si>
    <t>autoreplies for holidays etc</t>
  </si>
  <si>
    <t>8. Draft response generated</t>
  </si>
  <si>
    <t>parking of emails - delays timer setting</t>
  </si>
  <si>
    <t>Campaign email - mass mailing</t>
  </si>
  <si>
    <t>9. Human review (if required)</t>
  </si>
  <si>
    <t>recall email</t>
  </si>
  <si>
    <t>10. Graph API executes:</t>
  </si>
  <si>
    <t>- Reply</t>
  </si>
  <si>
    <t>- Reply All</t>
  </si>
  <si>
    <t xml:space="preserve">identify source - email- and response expected by </t>
  </si>
  <si>
    <t>- Forward</t>
  </si>
  <si>
    <t>Classify contents as per affinity grouping ….</t>
  </si>
  <si>
    <t>NLP</t>
  </si>
  <si>
    <t>- Delete</t>
  </si>
  <si>
    <t>- Move</t>
  </si>
  <si>
    <t>SQLite</t>
  </si>
  <si>
    <t>11. Audit log stored</t>
  </si>
  <si>
    <t>12. Dashboard updated</t>
  </si>
  <si>
    <t>Email Actions</t>
  </si>
  <si>
    <t>customer</t>
  </si>
  <si>
    <t>Access Management</t>
  </si>
  <si>
    <t>UI- Login</t>
  </si>
  <si>
    <t>GitHub Single Sign-On (SSO)</t>
  </si>
  <si>
    <t>Login</t>
  </si>
  <si>
    <t>OAuth Aunthentication</t>
  </si>
  <si>
    <t>Authentication</t>
  </si>
  <si>
    <t>Aishi Guin</t>
  </si>
  <si>
    <t>Session Creation</t>
  </si>
  <si>
    <t>API Gateway</t>
  </si>
  <si>
    <t>API Routing</t>
  </si>
  <si>
    <t>Route API requests</t>
  </si>
  <si>
    <t>Role Based Access Control</t>
  </si>
  <si>
    <t>Authorize user access</t>
  </si>
  <si>
    <t>Request Validation</t>
  </si>
  <si>
    <t>Validate API requests</t>
  </si>
  <si>
    <t>Rate Limiting</t>
  </si>
  <si>
    <t>Limit API requests</t>
  </si>
  <si>
    <t>API Logging &amp; Monitoring</t>
  </si>
  <si>
    <t>Log and Monitor API Requests</t>
  </si>
  <si>
    <t>Token Management</t>
  </si>
  <si>
    <t>Generate / Issue Token for session management of application</t>
  </si>
  <si>
    <t>generate a token for registered application</t>
  </si>
  <si>
    <t>Validate Token</t>
  </si>
  <si>
    <t>Authenticate User or Service</t>
  </si>
  <si>
    <t>Token Refresh</t>
  </si>
  <si>
    <t>Revoke / Invalidate Access</t>
  </si>
  <si>
    <t>Authorize Actions- Read data, Create records,Update records, Delete records, Invoke APIs
,Execute agent/tool actions</t>
  </si>
  <si>
    <t>RBAC Management</t>
  </si>
  <si>
    <t>check RBAC - role and CRUD - RIGHTS  is assigned to the user</t>
  </si>
  <si>
    <t>reject if not assigned</t>
  </si>
  <si>
    <t>grant access</t>
  </si>
  <si>
    <t xml:space="preserve"> return status to cannonical session variable in the session</t>
  </si>
  <si>
    <t>Policy Management</t>
  </si>
  <si>
    <t>check Policy is assigned to the user</t>
  </si>
  <si>
    <t>grant access,</t>
  </si>
  <si>
    <t>Application Management</t>
  </si>
  <si>
    <t>check Application is assigned to the user</t>
  </si>
  <si>
    <t>Tenanacy Manangement</t>
  </si>
  <si>
    <t>check tenancy is assigned to the user</t>
  </si>
  <si>
    <t>Dashboard</t>
  </si>
  <si>
    <t>Create a UI template for login as per wireframe for login</t>
  </si>
  <si>
    <t>Only UI design select type of user and navigate to dashboard on submit</t>
  </si>
  <si>
    <t>Pushpansh and Soumalaya</t>
  </si>
  <si>
    <t>29/09/2026</t>
  </si>
  <si>
    <t>Request Category to the webservice</t>
  </si>
  <si>
    <t xml:space="preserve">Capture the request for category </t>
  </si>
  <si>
    <t>Populate the Category from a file using an API- identify file using the keyword category</t>
  </si>
  <si>
    <t>Swata + Pranav</t>
  </si>
  <si>
    <t>Send the Category as a response to the Webservice</t>
  </si>
  <si>
    <t>Capture the response category list</t>
  </si>
  <si>
    <t xml:space="preserve">bind it to a dataset that displays value category in the controls </t>
  </si>
  <si>
    <t>Request Persona types to the webservice</t>
  </si>
  <si>
    <t>Capture the request for Persona types</t>
  </si>
  <si>
    <t>Populate the Persona types from a file using an API identify file using the keyword Persona types</t>
  </si>
  <si>
    <t>Srijini + Pranav</t>
  </si>
  <si>
    <t>Send the Persona types as a response to the Webservice</t>
  </si>
  <si>
    <t>Capture the response Persona types list</t>
  </si>
  <si>
    <t xml:space="preserve">bind it to a dataset that displays value Persona types in the controls </t>
  </si>
  <si>
    <t xml:space="preserve">Populate the Persona types </t>
  </si>
  <si>
    <t>Inner Dashboard Template</t>
  </si>
  <si>
    <t>Create a UI template for login as per wireframe</t>
  </si>
  <si>
    <t>Only UI design as per wireframe</t>
  </si>
  <si>
    <t>Request responsibilities to the webservice for a given user persona and category</t>
  </si>
  <si>
    <t xml:space="preserve">Capture the request for responsibilities </t>
  </si>
  <si>
    <t>Populate the responsibilities from a file using an API- identify file using the keyword responsibilities</t>
  </si>
  <si>
    <t>Send the responsibilities as a response to the Webservice</t>
  </si>
  <si>
    <t>Capture the responsibilities category list</t>
  </si>
  <si>
    <t xml:space="preserve">bind it to a dataset that displays value responsibilities in the controls </t>
  </si>
  <si>
    <t>Populate the responsibilities for a user persona from a file using an API</t>
  </si>
  <si>
    <t>Abhiraj + Pranav</t>
  </si>
  <si>
    <t>Request  KPI metrics type to the webservice for a given user persona and category</t>
  </si>
  <si>
    <t>Capture the request for  KPI metrics type</t>
  </si>
  <si>
    <t>Populate the  KPI metrics type from a file using an API- identify file using the keyword responsibilities</t>
  </si>
  <si>
    <t>Send the  KPI metrics type as a response to the Webservice</t>
  </si>
  <si>
    <t>Capture the  KPI metrics type category list</t>
  </si>
  <si>
    <t>bind it to a dataset that displays value  KPI metrics type in the list</t>
  </si>
  <si>
    <t>Populate the KPI metrics type  for the same user persona from a file using an API</t>
  </si>
  <si>
    <t>Aishi + Pranav</t>
  </si>
  <si>
    <t>Status panel</t>
  </si>
  <si>
    <t>Metric Panel</t>
  </si>
  <si>
    <t>Responsibility Panel</t>
  </si>
  <si>
    <t>Action Panel</t>
  </si>
  <si>
    <t>Workflow Panel</t>
  </si>
  <si>
    <t>Metrics</t>
  </si>
  <si>
    <t>Leading</t>
  </si>
  <si>
    <t>Lagging</t>
  </si>
  <si>
    <t>Alert Management</t>
  </si>
  <si>
    <r>
      <t xml:space="preserve">The </t>
    </r>
    <r>
      <rPr>
        <b/>
        <sz val="12"/>
        <color theme="1"/>
        <rFont val="Tenorite"/>
      </rPr>
      <t>recommended Microsoft approach today is Microsoft Graph API</t>
    </r>
    <r>
      <rPr>
        <sz val="12"/>
        <color theme="1"/>
        <rFont val="Tenorite"/>
      </rPr>
      <t xml:space="preserve">, which provides secure access to Outlook/Microsoft 365 mailboxes. Microsoft documents that Outlook mail can be accessed through Graph endpoints such as /me/messages or /users/{id}/messages with appropriate permissions. </t>
    </r>
    <r>
      <rPr>
        <sz val="12"/>
        <color rgb="FF464FEB"/>
        <rFont val="Tenorite"/>
      </rPr>
      <t>[learn.microsoft.com]</t>
    </r>
    <r>
      <rPr>
        <sz val="12"/>
        <color theme="1"/>
        <rFont val="Tenorite"/>
      </rPr>
      <t xml:space="preserve">, </t>
    </r>
    <r>
      <rPr>
        <sz val="12"/>
        <color rgb="FF464FEB"/>
        <rFont val="Tenorite"/>
      </rPr>
      <t>[learn.microsoft.com]</t>
    </r>
  </si>
  <si>
    <r>
      <t xml:space="preserve">Your enterprise data also contains references to an architecture that uses </t>
    </r>
    <r>
      <rPr>
        <b/>
        <sz val="12"/>
        <color theme="1"/>
        <rFont val="Tenorite"/>
      </rPr>
      <t>Microsoft Graph → Azure Functions → AI/Orchestrator</t>
    </r>
    <r>
      <rPr>
        <sz val="12"/>
        <color theme="1"/>
        <rFont val="Tenorite"/>
      </rPr>
      <t xml:space="preserve"> for email intake and processing in the J&amp;J Mentor solution. </t>
    </r>
    <r>
      <rPr>
        <sz val="12"/>
        <color rgb="FF464FEB"/>
        <rFont val="Tenorite"/>
      </rPr>
      <t>[Mentor AI...tus Update | PowerPoint]</t>
    </r>
    <r>
      <rPr>
        <sz val="12"/>
        <color theme="1"/>
        <rFont val="Tenorite"/>
      </rPr>
      <t xml:space="preserve">, </t>
    </r>
    <r>
      <rPr>
        <sz val="12"/>
        <color rgb="FF464FEB"/>
        <rFont val="Tenorite"/>
      </rPr>
      <t>[JnJ_Dashboard | Excel]</t>
    </r>
  </si>
  <si>
    <t>Option 1: Microsoft Graph API (Recommended)</t>
  </si>
  <si>
    <t>Step 1: Register an Application</t>
  </si>
  <si>
    <t>In Azure Entra ID:</t>
  </si>
  <si>
    <t>Register App</t>
  </si>
  <si>
    <t>Create Client Secret or Certificate</t>
  </si>
  <si>
    <t>Grant permissions:</t>
  </si>
  <si>
    <t>Mail.Read</t>
  </si>
  <si>
    <t>Mail.ReadWrite</t>
  </si>
  <si>
    <t>Mail.Send</t>
  </si>
  <si>
    <t>User.Read</t>
  </si>
  <si>
    <t>Step 2: Acquire Access Token</t>
  </si>
  <si>
    <t>Python example using MSAL:</t>
  </si>
  <si>
    <t>Python</t>
  </si>
  <si>
    <t>from msal import ConfidentialClientApplication</t>
  </si>
  <si>
    <t>CLIENT_ID = "client-id"</t>
  </si>
  <si>
    <t>CLIENT_SECRET = "client-secret"</t>
  </si>
  <si>
    <t>TENANT_ID = "tenant-id"</t>
  </si>
  <si>
    <t>app = ConfidentialClientApplication(</t>
  </si>
  <si>
    <t>CLIENT_ID,</t>
  </si>
  <si>
    <t>authority=f"https://login.microsoftonline.com/{TENANT_ID}",</t>
  </si>
  <si>
    <t>client_credential=CLIENT_SECRET</t>
  </si>
  <si>
    <t>)</t>
  </si>
  <si>
    <t>token = app.acquire_token_for_client(</t>
  </si>
  <si>
    <t>scopes=["https://graph.microsoft.com/.default"]</t>
  </si>
  <si>
    <t>access_token = token["access_token"]</t>
  </si>
  <si>
    <t>Show more lines</t>
  </si>
  <si>
    <t>Step 3: Read Emails</t>
  </si>
  <si>
    <t>import requests</t>
  </si>
  <si>
    <t>headers = {</t>
  </si>
  <si>
    <t>"Authorization": f"Bearer {access_token}"</t>
  </si>
  <si>
    <t>}</t>
  </si>
  <si>
    <t>url = "https://graph.microsoft.com/v1.0/users/user@company.com/messages"</t>
  </si>
  <si>
    <t>response = requests.get(url, headers=headers)</t>
  </si>
  <si>
    <t>emails = response.json()</t>
  </si>
  <si>
    <t>for mail in emails["value"\]:</t>
  </si>
  <si>
    <t>print(mail["subject"])</t>
  </si>
  <si>
    <t>Read Inbox Only</t>
  </si>
  <si>
    <t>HTTP</t>
  </si>
  <si>
    <t>GET https://graph.microsoft.com/v1.0/me/mailFolders/Inbox/messages</t>
  </si>
  <si>
    <r>
      <t xml:space="preserve">Microsoft documents support for accessing mailbox folders, messages, attachments, sent items, drafts, and shared mailboxes through Graph. </t>
    </r>
    <r>
      <rPr>
        <sz val="12"/>
        <color rgb="FF464FEB"/>
        <rFont val="Tenorite"/>
      </rPr>
      <t>[learn.microsoft.com]</t>
    </r>
    <r>
      <rPr>
        <sz val="12"/>
        <color theme="1"/>
        <rFont val="Tenorite"/>
      </rPr>
      <t xml:space="preserve">, </t>
    </r>
    <r>
      <rPr>
        <sz val="12"/>
        <color rgb="FF464FEB"/>
        <rFont val="Tenorite"/>
      </rPr>
      <t>[learn.microsoft.com]</t>
    </r>
  </si>
  <si>
    <t>Option 2: Use Outlook via COM Automation (Windows Desktop)</t>
  </si>
  <si>
    <t>Useful if Outlook is installed locally.</t>
  </si>
  <si>
    <t>import win32com.client</t>
  </si>
  <si>
    <t>outlook = win32com.client.Dispatch("Outlook.Application")</t>
  </si>
  <si>
    <t>namespace = outlook.GetNamespace("MAPI")</t>
  </si>
  <si>
    <t>inbox = namespace.GetDefaultFolder(6)</t>
  </si>
  <si>
    <t>for msg in inbox.Items:</t>
  </si>
  <si>
    <t>print(msg.Subject)</t>
  </si>
  <si>
    <t>Pros:</t>
  </si>
  <si>
    <t>Easy for desktop automation</t>
  </si>
  <si>
    <t>Cons:</t>
  </si>
  <si>
    <t>Requires Outlook installed</t>
  </si>
  <si>
    <t>Not suitable for Azure/cloud deployments</t>
  </si>
  <si>
    <t>Option 3: Shared Mailbox Access</t>
  </si>
  <si>
    <t>If reading a shared support mailbox:</t>
  </si>
  <si>
    <t>GET https://graph.microsoft.com/v1.0/users/support@company.com/messages</t>
  </si>
  <si>
    <t>Application permissions are typically used for service accounts and shared mailboxes. Microsoft Graph supports both delegated-user access and application-level access. [learn.microsoft.com]</t>
  </si>
  <si>
    <t>Common Operations</t>
  </si>
  <si>
    <t>Get Unread Emails</t>
  </si>
  <si>
    <t>GET /me/messages?$filter=isRead eq false</t>
  </si>
  <si>
    <t>Get Last 10 Emails</t>
  </si>
  <si>
    <t>GET /me/messages?$top=10</t>
  </si>
  <si>
    <t>Search Emails</t>
  </si>
  <si>
    <t>GET /me/messages?$search="Mentor AI"</t>
  </si>
  <si>
    <t>``</t>
  </si>
  <si>
    <t>Download Attachments</t>
  </si>
  <si>
    <t>GET /me/messages/{message-id}/attachments</t>
  </si>
  <si>
    <t>Mark Email Read</t>
  </si>
  <si>
    <t>PATCH /me/messages/{message-id}</t>
  </si>
  <si>
    <t>{</t>
  </si>
  <si>
    <t>"isRead": true</t>
  </si>
  <si>
    <t>For Your J&amp;J Mentor AI Use Case</t>
  </si>
  <si>
    <t>Based on your recent Mentor/J&amp;J work, the typical enterprise pattern would be:</t>
  </si>
  <si>
    <t>Plain Text</t>
  </si>
  <si>
    <t>Shared Mailbox</t>
  </si>
  <si>
    <t>↓</t>
  </si>
  <si>
    <t>Microsoft Graph API</t>
  </si>
  <si>
    <t>Azure Function</t>
  </si>
  <si>
    <t>Processing / AI Classification</t>
  </si>
  <si>
    <t>Case Creation (Genesys / Dynamics)</t>
  </si>
  <si>
    <t>Dashboard &amp; Analytics</t>
  </si>
  <si>
    <t>This is consistent with the Microsoft Graph email ingestion pattern referenced in your project materials. [Mentor AI...tus Update | PowerPoint]</t>
  </si>
  <si>
    <r>
      <t xml:space="preserve">If you're building an AI solution on Azure for Mentor, I would recommend </t>
    </r>
    <r>
      <rPr>
        <b/>
        <sz val="12"/>
        <color rgb="FFFF0000"/>
        <rFont val="Tenorite"/>
      </rPr>
      <t>Python + Microsoft Graph + Azure Functions + Entra App Registration</t>
    </r>
    <r>
      <rPr>
        <sz val="12"/>
        <color rgb="FFFF0000"/>
        <rFont val="Tenorite"/>
      </rPr>
      <t>, rather than COM automation or IMAP</t>
    </r>
  </si>
  <si>
    <r>
      <t xml:space="preserve">Once you have the </t>
    </r>
    <r>
      <rPr>
        <b/>
        <sz val="12"/>
        <color theme="1"/>
        <rFont val="Tenorite"/>
      </rPr>
      <t>Message ID</t>
    </r>
    <r>
      <rPr>
        <sz val="12"/>
        <color theme="1"/>
        <rFont val="Tenorite"/>
      </rPr>
      <t xml:space="preserve"> using Microsoft Graph, you can perform all common email actions through Graph APIs.</t>
    </r>
  </si>
  <si>
    <t>1. Reply to an Email</t>
  </si>
  <si>
    <t>Reply (simple text reply)</t>
  </si>
  <si>
    <t>POST https://graph.microsoft.com/v1.0/me/messages/{message-id}/reply</t>
  </si>
  <si>
    <t>Body:</t>
  </si>
  <si>
    <t>JSON</t>
  </si>
  <si>
    <t>"comment": "Thank you. We will review and revert."</t>
  </si>
  <si>
    <t>Python:</t>
  </si>
  <si>
    <t>requests.post(</t>
  </si>
  <si>
    <t>f"https://graph.microsoft.com/v1.0/me/messages/{message_id}/reply",</t>
  </si>
  <si>
    <t>headers=headers,</t>
  </si>
  <si>
    <t>json={</t>
  </si>
  <si>
    <t>2. Reply All</t>
  </si>
  <si>
    <t>Sends reply to sender plus all original recipients.</t>
  </si>
  <si>
    <t>POST https://graph.microsoft.com/v1.0/me/messages/{message-id}/replyAll</t>
  </si>
  <si>
    <t>"comment": "Please find our response below."</t>
  </si>
  <si>
    <t>f"https://graph.microsoft.com/v1.0/me/messages/{message_id}/replyAll",</t>
  </si>
  <si>
    <t>3. Forward an Email</t>
  </si>
  <si>
    <t>POST https://graph.microsoft.com/v1.0/me/messages/{message-id}/forward</t>
  </si>
  <si>
    <t>"comment": "FYI",</t>
  </si>
  <si>
    <t>"toRecipients": [</t>
  </si>
  <si>
    <t>"emailAddress": {</t>
  </si>
  <si>
    <t>"address": "john.doe@company.com"</t>
  </si>
  <si>
    <t>]</t>
  </si>
  <si>
    <t>f"https://graph.microsoft.com/v1.0/me/messages/{message_id}/forward",</t>
  </si>
  <si>
    <t>4. Delete an Email</t>
  </si>
  <si>
    <t>DELETE https://graph.microsoft.com/v1.0/me/messages/{message-id}</t>
  </si>
  <si>
    <t>requests.delete(</t>
  </si>
  <si>
    <t>f"https://graph.microsoft.com/v1.0/me/messages/{message_id}",</t>
  </si>
  <si>
    <t>headers=headers</t>
  </si>
  <si>
    <t>The message moves to Deleted Items.</t>
  </si>
  <si>
    <t>5. Move an Email</t>
  </si>
  <si>
    <t>Move to another folder such as Archive, Processed, Completed.</t>
  </si>
  <si>
    <t>POST https://graph.microsoft.com/v1.0/me/messages/{message-id}/move</t>
  </si>
  <si>
    <t>"destinationId":"folder-id"</t>
  </si>
  <si>
    <t>6. Mark Read / Unread</t>
  </si>
  <si>
    <t>Mark Read</t>
  </si>
  <si>
    <t>PATCH https://graph.microsoft.com/v1.0/me/messages/{message-id}</t>
  </si>
  <si>
    <t>Mark Unread</t>
  </si>
  <si>
    <t>"isRead": false</t>
  </si>
  <si>
    <t>7. Add Category</t>
  </si>
  <si>
    <t>"categories": [</t>
  </si>
  <si>
    <t>"Processed"</t>
  </si>
  <si>
    <t>8. Download Attachments</t>
  </si>
  <si>
    <t>attachments = requests.get(</t>
  </si>
  <si>
    <t>f"https://graph.microsoft.com/v1.0/me/messages/{message_id}/attachments",</t>
  </si>
  <si>
    <t>).json()</t>
  </si>
  <si>
    <t>9. Send a New Email</t>
  </si>
  <si>
    <t>POST /me/sendMail</t>
  </si>
  <si>
    <t>"message": {</t>
  </si>
  <si>
    <t>"subject": "Status Update",</t>
  </si>
  <si>
    <t>"body": {</t>
  </si>
  <si>
    <t>"contentType": "Text",</t>
  </si>
  <si>
    <t>"content": "Weekly status attached."</t>
  </si>
  <si>
    <t>},</t>
  </si>
  <si>
    <t>"address": "abc@company.com"</t>
  </si>
  <si>
    <t>10. Typical AI Email Processing Pattern</t>
  </si>
  <si>
    <t>For AI-driven mailbox automation such as your Mentor/J&amp;J use cases:</t>
  </si>
  <si>
    <t>Read Email</t>
  </si>
  <si>
    <t>Classify Intent</t>
  </si>
  <si>
    <t>Extract Entities</t>
  </si>
  <si>
    <t>Generate Draft Reply</t>
  </si>
  <si>
    <t>Human Approval</t>
  </si>
  <si>
    <t>Reply / Reply-All / Forward</t>
  </si>
  <si>
    <t>Move to Processed Folder</t>
  </si>
  <si>
    <t>Common Graph Permissions</t>
  </si>
  <si>
    <t>Action</t>
  </si>
  <si>
    <t>Permission</t>
  </si>
  <si>
    <t>Read emails</t>
  </si>
  <si>
    <t>Read/Write emails</t>
  </si>
  <si>
    <t>Send email</t>
  </si>
  <si>
    <t>Shared mailbox access</t>
  </si>
  <si>
    <t>Mail.ReadWrite + Application Permissions</t>
  </si>
  <si>
    <t>Delete/Move</t>
  </si>
  <si>
    <t>Useful Endpoints Summary</t>
  </si>
  <si>
    <t>GET /me/messages</t>
  </si>
  <si>
    <t>GET /me/messages/{id}</t>
  </si>
  <si>
    <t>POST /me/messages/{id}/reply</t>
  </si>
  <si>
    <t>POST /me/messages/{id}/replyAll</t>
  </si>
  <si>
    <t>POST /me/messages/{id}/forward</t>
  </si>
  <si>
    <t>PATCH /me/messages/{id}</t>
  </si>
  <si>
    <t>DELETE /me/messages/{id}</t>
  </si>
  <si>
    <t>POST /me/messages/{id}/move</t>
  </si>
  <si>
    <t>GET /me/messages/{id}/attachments</t>
  </si>
  <si>
    <t>For enterprise-scale automation on Azure, Microsoft Graph is the preferred approach over IMAP/POP because it supports modern authentication, shared mailboxes, attachments, categories, folders, and Outlook-native operations through a single API.</t>
  </si>
  <si>
    <t>Level 0 – Context Diagram</t>
  </si>
  <si>
    <t>┌────────────────────┐</t>
  </si>
  <si>
    <t>│ External Senders │</t>
  </si>
  <si>
    <t>│ Customers/Users │</t>
  </si>
  <si>
    <t>└─────────┬──────────┘</t>
  </si>
  <si>
    <t>│ Email</t>
  </si>
  <si>
    <t>▼</t>
  </si>
  <si>
    <t>┌─────────────────────────────────────────────────────┐</t>
  </si>
  <si>
    <t>│ AI EMAIL PROCESSING PLATFORM │</t>
  </si>
  <si>
    <t>│ │</t>
  </si>
  <si>
    <t>│ Python + Microsoft Graph + Azure Functions │</t>
  </si>
  <si>
    <t>│ + AI Services + Business Applications │</t>
  </si>
  <si>
    <t>└───────┬─────────────┬─────────────┬────────────────┘</t>
  </si>
  <si>
    <t>│ │ │</t>
  </si>
  <si>
    <t>▼ ▼ ▼</t>
  </si>
  <si>
    <t>┌─────────────┐ ┌─────────────┐ ┌──────────────────┐</t>
  </si>
  <si>
    <t>│ Outlook / │ │ AI Models │ │ Business Systems │</t>
  </si>
  <si>
    <t>│ Shared Mail │ │ NLP/GenAI │ │ CRM/ERP/QMS/etc │</t>
  </si>
  <si>
    <t>└─────────────┘ └─────────────┘ └──────────────────┘</t>
  </si>
  <si>
    <t>Level 1 – Email Processing Flow</t>
  </si>
  <si>
    <t>┌──────────────────────┐</t>
  </si>
  <si>
    <t>│ Microsoft Entra ID │</t>
  </si>
  <si>
    <t>│ App Registration │</t>
  </si>
  <si>
    <t>│ OAuth2 Authentication│</t>
  </si>
  <si>
    <t>└──────────┬───────────┘</t>
  </si>
  <si>
    <t>│ Access Token</t>
  </si>
  <si>
    <t>┌───────────────────────────────────────────────────────────────┐</t>
  </si>
  <si>
    <t>│ Microsoft Graph API │</t>
  </si>
  <si>
    <t>└───────────────┬───────────────────────────────────────────────┘</t>
  </si>
  <si>
    <t>│</t>
  </si>
  <si>
    <t>│ Read Emails</t>
  </si>
  <si>
    <t>│ Shared Mailbox / Outlook Inbox │</t>
  </si>
  <si>
    <t>│ support@company.com │</t>
  </si>
  <si>
    <t>│ New Email</t>
  </si>
  <si>
    <t>│ Azure Function (Email Watcher) │</t>
  </si>
  <si>
    <t>│ Python Runtime │</t>
  </si>
  <si>
    <t>│ Trigger: Polling / Change Notification │</t>
  </si>
  <si>
    <t>│ Email Metadata</t>
  </si>
  <si>
    <t>│ Attachments</t>
  </si>
  <si>
    <t>│ Thread Information</t>
  </si>
  <si>
    <t>┌─────────────────────────────┐</t>
  </si>
  <si>
    <t>│ Email Classification Engine │</t>
  </si>
  <si>
    <t>│ Intent Detection │</t>
  </si>
  <si>
    <t>│ Priority Detection │</t>
  </si>
  <si>
    <t>│ Language Detection │</t>
  </si>
  <si>
    <t>└───────────┬─────────────────┘</t>
  </si>
  <si>
    <t>┌───────────┼───────────┐</t>
  </si>
  <si>
    <t>Customer Incident Product</t>
  </si>
  <si>
    <t>Inquiry Request Question</t>
  </si>
  <si>
    <t>│ LLM / RAG Processing Layer │</t>
  </si>
  <si>
    <t>│ Azure OpenAI │</t>
  </si>
  <si>
    <t>│ Knowledge Search │</t>
  </si>
  <si>
    <t>│ Draft Response Generation │</t>
  </si>
  <si>
    <t>│ Summarization │</t>
  </si>
  <si>
    <t>│ Recommendation │</t>
  </si>
  <si>
    <t>┌────────────┼───────────┐</t>
  </si>
  <si>
    <t>▼ ▼</t>
  </si>
  <si>
    <t>Human Approval Auto-Route</t>
  </si>
  <si>
    <t>Required Allowed</t>
  </si>
  <si>
    <t>└──────────┬─────────────┘</t>
  </si>
  <si>
    <t>│ Business Applications │</t>
  </si>
  <si>
    <t>│ CRM │</t>
  </si>
  <si>
    <t>│ ERP │</t>
  </si>
  <si>
    <t>│ QMS │</t>
  </si>
  <si>
    <t>│ Service Desk │</t>
  </si>
  <si>
    <t>│ Reply │</t>
  </si>
  <si>
    <t>│ Reply All │</t>
  </si>
  <si>
    <t>│ Forward │</t>
  </si>
  <si>
    <t>│ Delete │</t>
  </si>
  <si>
    <t>│ Move To Folder │</t>
  </si>
  <si>
    <t>│ Outlook Mailbox │</t>
  </si>
  <si>
    <t>└─────────────────────────────┘</t>
  </si>
  <si>
    <t>Show less</t>
  </si>
  <si>
    <t>Level 2 – Security Flow</t>
  </si>
  <si>
    <t>┌─────────────────────┐</t>
  </si>
  <si>
    <t>│ Azure Key Vault │</t>
  </si>
  <si>
    <t>│ Client Secret │</t>
  </si>
  <si>
    <t>│ Certificates │</t>
  </si>
  <si>
    <t>└─────────┬───────────┘</t>
  </si>
  <si>
    <t>│ Azure Function │</t>
  </si>
  <si>
    <t>│ Python App │</t>
  </si>
  <si>
    <t>│ Entra ID │</t>
  </si>
  <si>
    <t>│ OAuth2 Token │</t>
  </si>
  <si>
    <t>│ Microsoft Graph │</t>
  </si>
  <si>
    <t>└─────────────────────┘</t>
  </si>
  <si>
    <t>Created Incident</t>
  </si>
  <si>
    <t>Partner</t>
  </si>
  <si>
    <t>Username</t>
  </si>
  <si>
    <t>Password</t>
  </si>
  <si>
    <t>RBAC</t>
  </si>
  <si>
    <t>Policy ID</t>
  </si>
  <si>
    <t xml:space="preserve">Approve/ Reject/ </t>
  </si>
  <si>
    <t>Tenancy ID</t>
  </si>
  <si>
    <t>Application</t>
  </si>
  <si>
    <t>15 aoplication</t>
  </si>
  <si>
    <t>Srijani Majumder</t>
  </si>
  <si>
    <t>Requested for Access</t>
  </si>
  <si>
    <t>Client</t>
  </si>
  <si>
    <t>IP Address</t>
  </si>
  <si>
    <t>Soma Pranav</t>
  </si>
  <si>
    <t>Acceptance email</t>
  </si>
  <si>
    <t>Vendor</t>
  </si>
  <si>
    <t>Role 01 - CC Customer</t>
  </si>
  <si>
    <t>CustPswd</t>
  </si>
  <si>
    <t>Enduser</t>
  </si>
  <si>
    <t>US Policy</t>
  </si>
  <si>
    <t>Approve/ Reject</t>
  </si>
  <si>
    <t>UI- AI Solutions</t>
  </si>
  <si>
    <t>Managed at UI</t>
  </si>
  <si>
    <t>JDE</t>
  </si>
  <si>
    <t>Managed at API-Gateway</t>
  </si>
  <si>
    <t>Salesforce</t>
  </si>
  <si>
    <t>Nachiketa Kumar</t>
  </si>
  <si>
    <t>Upload to Incident</t>
  </si>
  <si>
    <t>Role 02 - CC Inventory</t>
  </si>
  <si>
    <t>Abhiraj Singh</t>
  </si>
  <si>
    <t xml:space="preserve">Confirm Login access </t>
  </si>
  <si>
    <t>Role 03 - CC Warranty</t>
  </si>
  <si>
    <t>Validate login Access</t>
  </si>
  <si>
    <t>Role 04 - BO Customer</t>
  </si>
  <si>
    <t>Role 05 - BO Inventory</t>
  </si>
  <si>
    <t>Role 06 - BO Warranty</t>
  </si>
  <si>
    <t>Role 07 - CC Manager</t>
  </si>
  <si>
    <t>Role 08 - BO Manager</t>
  </si>
  <si>
    <t>Role 09 - Operations Mgr</t>
  </si>
  <si>
    <t>Role 10 - Quality Analyst</t>
  </si>
  <si>
    <t>Role 11 - Admin Executive</t>
  </si>
  <si>
    <t>Role 12 - Surgeon</t>
  </si>
  <si>
    <t>Role 13 - Office Manager</t>
  </si>
  <si>
    <t>Role 14 - Sales Rep</t>
  </si>
  <si>
    <t>Role 15 - CSR</t>
  </si>
  <si>
    <t>Role 16 - Patient</t>
  </si>
  <si>
    <t>Role-17 - Manager</t>
  </si>
  <si>
    <t>MS  DYNAMICS</t>
  </si>
  <si>
    <t>SAP</t>
  </si>
  <si>
    <t>USER</t>
  </si>
  <si>
    <t>UI</t>
  </si>
  <si>
    <t>API GATEWAY</t>
  </si>
  <si>
    <t>APPLICATION API INTERFACE</t>
  </si>
  <si>
    <t>Acess to application</t>
  </si>
  <si>
    <t>Authentication, Verification</t>
  </si>
  <si>
    <t>Access management is done using Tokenisation</t>
  </si>
  <si>
    <t>messaging</t>
  </si>
  <si>
    <t>functional data</t>
  </si>
  <si>
    <t>Tokens + function data</t>
  </si>
  <si>
    <t>LLM</t>
  </si>
  <si>
    <t>Real time value</t>
  </si>
  <si>
    <t>Value</t>
  </si>
  <si>
    <t>Min Value</t>
  </si>
  <si>
    <t xml:space="preserve">&lt;- range -&gt; </t>
  </si>
  <si>
    <t>Max Value</t>
  </si>
  <si>
    <t>Mean</t>
  </si>
  <si>
    <t>Variance</t>
  </si>
  <si>
    <t>Lower Control Limit</t>
  </si>
  <si>
    <t>Measured Value</t>
  </si>
  <si>
    <t>Upper Control Limit</t>
  </si>
  <si>
    <t>Median</t>
  </si>
  <si>
    <t xml:space="preserve">Exceptions are </t>
  </si>
  <si>
    <t>&lt;LCL</t>
  </si>
  <si>
    <t>Mode</t>
  </si>
  <si>
    <t>&gt; UCL</t>
  </si>
  <si>
    <t>Define Count</t>
  </si>
  <si>
    <t xml:space="preserve">Variance </t>
  </si>
  <si>
    <t>Logical</t>
  </si>
  <si>
    <t>True / False</t>
  </si>
  <si>
    <t>Define Variable</t>
  </si>
  <si>
    <t>Linear</t>
  </si>
  <si>
    <t>Johnson &amp; Johnson Services Inc</t>
  </si>
  <si>
    <t>15807N/P14/B47/R50 BLR</t>
  </si>
  <si>
    <t>ODC Access</t>
  </si>
  <si>
    <t>Reserved date</t>
  </si>
  <si>
    <t>Reservation Expiry Date</t>
  </si>
  <si>
    <t>Assignment Start Date</t>
  </si>
  <si>
    <t>Assignment End Date</t>
  </si>
  <si>
    <t>Manoj, Soumen, Sarvanan</t>
  </si>
  <si>
    <t>No</t>
  </si>
  <si>
    <t>&lt; Deallocated from Corning&gt;</t>
  </si>
  <si>
    <t>Johnson &amp; Johnson</t>
  </si>
  <si>
    <t>15807N/P14/B47/R50/TLR</t>
  </si>
  <si>
    <t>TAGGED</t>
  </si>
  <si>
    <t>DTCC</t>
  </si>
  <si>
    <t>NO</t>
  </si>
  <si>
    <t>Becton Dickinson</t>
  </si>
  <si>
    <t>&lt; showing rejected for J&amp;J)</t>
  </si>
  <si>
    <t>Screen 1</t>
  </si>
  <si>
    <t>16  persona</t>
  </si>
  <si>
    <t>Category</t>
  </si>
  <si>
    <t>verification</t>
  </si>
  <si>
    <t>Submit</t>
  </si>
  <si>
    <t>authentication</t>
  </si>
  <si>
    <t xml:space="preserve">Dashboard </t>
  </si>
  <si>
    <t>Role based Dashboard</t>
  </si>
  <si>
    <t>Role 1  Customer</t>
  </si>
  <si>
    <t>Workflow</t>
  </si>
  <si>
    <t>Responsibilities1</t>
  </si>
  <si>
    <t>Responsibilities2</t>
  </si>
  <si>
    <t>View</t>
  </si>
  <si>
    <t>Responsibilities3</t>
  </si>
  <si>
    <t>Responsibilities4</t>
  </si>
  <si>
    <t>Responsibilities5</t>
  </si>
  <si>
    <t>Responsibilities6</t>
  </si>
  <si>
    <t>Responsibilities7</t>
  </si>
  <si>
    <t>Click to chat</t>
  </si>
  <si>
    <t>Save</t>
  </si>
  <si>
    <t>Approve</t>
  </si>
  <si>
    <t>close</t>
  </si>
  <si>
    <t>mentor1</t>
  </si>
  <si>
    <t>people</t>
  </si>
  <si>
    <t>persona</t>
  </si>
  <si>
    <t>YR2</t>
  </si>
  <si>
    <t>YR3</t>
  </si>
  <si>
    <t>SOP</t>
  </si>
  <si>
    <t>YR1</t>
  </si>
  <si>
    <t xml:space="preserve">Screen then getting the data </t>
  </si>
  <si>
    <t xml:space="preserve">mapping data right hand side </t>
  </si>
  <si>
    <t xml:space="preserve">linear, logical for every variable </t>
  </si>
  <si>
    <t>ratio inc, dec</t>
  </si>
  <si>
    <t xml:space="preserve">TODO: </t>
  </si>
  <si>
    <t>Reporting table for metrics</t>
  </si>
  <si>
    <t>for each person.</t>
  </si>
  <si>
    <t>Login landing page</t>
  </si>
  <si>
    <t xml:space="preserve">Create server code -middleware for management of request and respond </t>
  </si>
  <si>
    <t>Client Code - to bind data on UI</t>
  </si>
  <si>
    <t>Client Code - to request data on UI for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</si>
</sst>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b/>
      <sz val="12"/>
      <color rgb="FF252424"/>
      <name val="Tenorite"/>
    </font>
    <font>
      <sz val="12"/>
      <color theme="1"/>
      <name val="Tenorite"/>
    </font>
    <font>
      <b/>
      <sz val="12"/>
      <color rgb="FF242424"/>
      <name val="Tenorite"/>
    </font>
    <font>
      <sz val="11"/>
      <color theme="0"/>
      <name val="Aptos Narrow"/>
      <family val="2"/>
      <scheme val="minor"/>
    </font>
    <font>
      <b/>
      <sz val="11"/>
      <color rgb="FF000000"/>
      <name val="Mona Sans VF"/>
      <charset val="1"/>
    </font>
    <font>
      <u/>
      <sz val="11"/>
      <color theme="10"/>
      <name val="Aptos Narrow"/>
      <family val="2"/>
      <scheme val="minor"/>
    </font>
    <font>
      <b/>
      <sz val="11"/>
      <color theme="1"/>
      <name val="Mona Sans VF"/>
      <charset val="1"/>
    </font>
    <font>
      <sz val="8"/>
      <name val="Aptos Narrow"/>
      <family val="2"/>
      <scheme val="minor"/>
    </font>
    <font>
      <sz val="10"/>
      <color theme="1"/>
      <name val="Tenorite"/>
    </font>
    <font>
      <sz val="10"/>
      <color rgb="FF454545"/>
      <name val="Tenorite"/>
    </font>
    <font>
      <sz val="10"/>
      <color rgb="FF000000"/>
      <name val="Tenorite"/>
    </font>
    <font>
      <sz val="10"/>
      <color theme="0"/>
      <name val="Tenorite"/>
    </font>
    <font>
      <b/>
      <sz val="12"/>
      <color theme="1"/>
      <name val="Tenorite"/>
    </font>
    <font>
      <sz val="12"/>
      <color rgb="FF464FEB"/>
      <name val="Tenorite"/>
    </font>
    <font>
      <u/>
      <sz val="12"/>
      <color theme="10"/>
      <name val="Tenorite"/>
    </font>
    <font>
      <sz val="12"/>
      <color rgb="FFFF0000"/>
      <name val="Tenorite"/>
    </font>
    <font>
      <b/>
      <sz val="12"/>
      <color rgb="FFFF0000"/>
      <name val="Tenorite"/>
    </font>
    <font>
      <sz val="12"/>
      <color rgb="FF000000"/>
      <name val="Tenorite"/>
    </font>
    <font>
      <sz val="12"/>
      <color rgb="FF000000"/>
      <name val="Tenorite"/>
      <charset val="1"/>
    </font>
    <font>
      <b/>
      <sz val="11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0" borderId="0" xfId="0" applyFont="1"/>
    <xf numFmtId="0" fontId="6" fillId="0" borderId="0" xfId="1"/>
    <xf numFmtId="0" fontId="7" fillId="0" borderId="0" xfId="0" applyFont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0" borderId="0" xfId="0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7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8" borderId="0" xfId="0" applyFill="1" applyAlignment="1">
      <alignment wrapText="1"/>
    </xf>
    <xf numFmtId="0" fontId="9" fillId="0" borderId="0" xfId="0" applyFont="1"/>
    <xf numFmtId="0" fontId="10" fillId="0" borderId="0" xfId="0" applyFont="1"/>
    <xf numFmtId="0" fontId="9" fillId="6" borderId="0" xfId="0" applyFont="1" applyFill="1"/>
    <xf numFmtId="15" fontId="10" fillId="0" borderId="0" xfId="0" applyNumberFormat="1" applyFont="1"/>
    <xf numFmtId="15" fontId="11" fillId="0" borderId="0" xfId="0" applyNumberFormat="1" applyFont="1"/>
    <xf numFmtId="15" fontId="10" fillId="7" borderId="0" xfId="0" applyNumberFormat="1" applyFont="1" applyFill="1"/>
    <xf numFmtId="0" fontId="9" fillId="2" borderId="0" xfId="0" applyFont="1" applyFill="1"/>
    <xf numFmtId="0" fontId="9" fillId="5" borderId="0" xfId="0" applyFont="1" applyFill="1"/>
    <xf numFmtId="0" fontId="11" fillId="5" borderId="0" xfId="0" applyFont="1" applyFill="1"/>
    <xf numFmtId="0" fontId="9" fillId="8" borderId="0" xfId="0" applyFont="1" applyFill="1"/>
    <xf numFmtId="15" fontId="10" fillId="5" borderId="0" xfId="0" applyNumberFormat="1" applyFont="1" applyFill="1"/>
    <xf numFmtId="15" fontId="9" fillId="0" borderId="0" xfId="0" applyNumberFormat="1" applyFont="1"/>
    <xf numFmtId="15" fontId="9" fillId="7" borderId="0" xfId="0" applyNumberFormat="1" applyFont="1" applyFill="1"/>
    <xf numFmtId="0" fontId="10" fillId="5" borderId="0" xfId="0" applyFont="1" applyFill="1"/>
    <xf numFmtId="22" fontId="10" fillId="7" borderId="0" xfId="0" applyNumberFormat="1" applyFont="1" applyFill="1"/>
    <xf numFmtId="15" fontId="10" fillId="0" borderId="0" xfId="0" applyNumberFormat="1" applyFont="1" applyAlignment="1">
      <alignment wrapText="1"/>
    </xf>
    <xf numFmtId="14" fontId="9" fillId="5" borderId="0" xfId="0" applyNumberFormat="1" applyFont="1" applyFill="1"/>
    <xf numFmtId="0" fontId="12" fillId="19" borderId="0" xfId="0" applyFont="1" applyFill="1"/>
    <xf numFmtId="0" fontId="2" fillId="8" borderId="0" xfId="0" applyFont="1" applyFill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5" fillId="0" borderId="0" xfId="1" applyFont="1" applyAlignment="1">
      <alignment vertical="center"/>
    </xf>
    <xf numFmtId="0" fontId="13" fillId="2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15" borderId="2" xfId="0" applyFill="1" applyBorder="1"/>
    <xf numFmtId="0" fontId="0" fillId="10" borderId="2" xfId="0" applyFill="1" applyBorder="1"/>
    <xf numFmtId="0" fontId="19" fillId="0" borderId="0" xfId="0" applyFont="1"/>
    <xf numFmtId="0" fontId="2" fillId="9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0" fillId="18" borderId="0" xfId="0" applyFill="1" applyAlignment="1">
      <alignment horizontal="center"/>
    </xf>
    <xf numFmtId="0" fontId="0" fillId="17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20" fillId="1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../../../_layouts/15/Doc.aspx?sourcedoc=%7B6942EACF-EAB8-4D20-B305-4FFEC0092FB8%7D&amp;file=Mentor%20AI%20-%20Weekly%20Status%20Update.pptx&amp;action=edit&amp;mobileredirect=true&amp;DefaultItemOpen=1" TargetMode="External"/><Relationship Id="rId1" Type="http://schemas.openxmlformats.org/officeDocument/2006/relationships/hyperlink" Target="https://learn.microsoft.com/en-us/graph/api/resources/mail-api-overview?view=graph-rest-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9471-B5D4-438F-8E24-EC3F19B74492}">
  <dimension ref="A1:J8"/>
  <sheetViews>
    <sheetView workbookViewId="0">
      <selection activeCell="B4" sqref="B4"/>
    </sheetView>
  </sheetViews>
  <sheetFormatPr defaultRowHeight="14.5"/>
  <cols>
    <col min="1" max="1" width="10.1796875" bestFit="1" customWidth="1"/>
    <col min="2" max="2" width="35.1796875" bestFit="1" customWidth="1"/>
    <col min="9" max="9" width="11.54296875" bestFit="1" customWidth="1"/>
    <col min="10" max="10" width="10.1796875" bestFit="1" customWidth="1"/>
  </cols>
  <sheetData>
    <row r="1" spans="1:10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0">
      <c r="A2" s="1">
        <v>46283</v>
      </c>
      <c r="B2" s="1" t="s">
        <v>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J2" s="1">
        <v>46283</v>
      </c>
    </row>
    <row r="3" spans="1:10">
      <c r="A3" s="1">
        <v>46283</v>
      </c>
      <c r="B3" t="s">
        <v>8</v>
      </c>
      <c r="C3">
        <v>1</v>
      </c>
      <c r="D3">
        <v>1</v>
      </c>
      <c r="E3" s="6"/>
      <c r="F3">
        <v>1</v>
      </c>
      <c r="G3">
        <v>1</v>
      </c>
      <c r="H3">
        <v>1</v>
      </c>
      <c r="I3">
        <v>1</v>
      </c>
      <c r="J3" s="1">
        <v>46286</v>
      </c>
    </row>
    <row r="4" spans="1:10">
      <c r="A4" s="1">
        <v>46286</v>
      </c>
      <c r="B4" t="s">
        <v>9</v>
      </c>
      <c r="C4">
        <v>1</v>
      </c>
      <c r="F4">
        <v>1</v>
      </c>
      <c r="H4">
        <v>1</v>
      </c>
      <c r="I4">
        <v>1</v>
      </c>
    </row>
    <row r="5" spans="1:10">
      <c r="A5" s="1">
        <v>46287</v>
      </c>
    </row>
    <row r="6" spans="1:10">
      <c r="A6" s="1">
        <v>46288</v>
      </c>
    </row>
    <row r="7" spans="1:10">
      <c r="A7" s="1">
        <v>46289</v>
      </c>
    </row>
    <row r="8" spans="1:10">
      <c r="A8" s="1">
        <v>46290</v>
      </c>
      <c r="B8" t="s">
        <v>10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8093-A9A9-4ECE-BB37-F3DA5CD663ED}">
  <dimension ref="A1:G2"/>
  <sheetViews>
    <sheetView workbookViewId="0">
      <selection activeCell="B18" sqref="B18"/>
    </sheetView>
  </sheetViews>
  <sheetFormatPr defaultRowHeight="14.5"/>
  <cols>
    <col min="2" max="2" width="13.54296875" bestFit="1" customWidth="1"/>
    <col min="3" max="3" width="15" bestFit="1" customWidth="1"/>
    <col min="4" max="4" width="29.453125" customWidth="1"/>
    <col min="5" max="5" width="32.81640625" bestFit="1" customWidth="1"/>
    <col min="6" max="6" width="15.81640625" bestFit="1" customWidth="1"/>
    <col min="7" max="7" width="13.81640625" bestFit="1" customWidth="1"/>
  </cols>
  <sheetData>
    <row r="1" spans="1:7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1</v>
      </c>
      <c r="B2" t="s">
        <v>17</v>
      </c>
      <c r="D2" t="s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DF60D-72A0-4DDC-86AE-89B302995B47}">
          <x14:formula1>
            <xm:f>lookup!$A$1:$A$32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9DCA-AB13-4348-9D10-0FB919CB49FF}">
  <dimension ref="A1:Y15"/>
  <sheetViews>
    <sheetView workbookViewId="0">
      <selection activeCell="G10" sqref="G3:G10"/>
    </sheetView>
  </sheetViews>
  <sheetFormatPr defaultRowHeight="14.5"/>
  <cols>
    <col min="1" max="1" width="18.81640625" bestFit="1" customWidth="1"/>
    <col min="2" max="2" width="8.1796875" bestFit="1" customWidth="1"/>
    <col min="3" max="6" width="8.1796875" customWidth="1"/>
    <col min="7" max="7" width="10.1796875" customWidth="1"/>
    <col min="9" max="9" width="12.1796875" bestFit="1" customWidth="1"/>
    <col min="10" max="10" width="8.26953125" customWidth="1"/>
    <col min="11" max="12" width="7.1796875" customWidth="1"/>
    <col min="13" max="13" width="13.26953125" bestFit="1" customWidth="1"/>
    <col min="14" max="14" width="9.453125" customWidth="1"/>
    <col min="15" max="15" width="9.54296875" customWidth="1"/>
    <col min="16" max="16" width="10.54296875" bestFit="1" customWidth="1"/>
    <col min="18" max="18" width="16.26953125" customWidth="1"/>
    <col min="19" max="19" width="13.54296875" bestFit="1" customWidth="1"/>
  </cols>
  <sheetData>
    <row r="1" spans="1:25">
      <c r="A1" s="7" t="s">
        <v>19</v>
      </c>
      <c r="B1" s="7" t="s">
        <v>20</v>
      </c>
      <c r="C1" s="7"/>
      <c r="D1" s="7"/>
      <c r="E1" s="7" t="s">
        <v>21</v>
      </c>
      <c r="F1" s="7"/>
      <c r="G1" s="7" t="s">
        <v>22</v>
      </c>
      <c r="H1" s="7"/>
      <c r="I1" s="7" t="s">
        <v>23</v>
      </c>
      <c r="J1" s="7"/>
      <c r="K1" s="7"/>
      <c r="L1" s="7"/>
      <c r="M1" s="7" t="s">
        <v>24</v>
      </c>
      <c r="N1" s="7"/>
      <c r="O1" s="7"/>
      <c r="P1" s="7"/>
      <c r="Q1" s="7" t="s">
        <v>25</v>
      </c>
      <c r="R1" s="7" t="s">
        <v>26</v>
      </c>
      <c r="S1" s="7" t="s">
        <v>27</v>
      </c>
      <c r="T1" s="7"/>
      <c r="U1" s="7"/>
      <c r="V1" s="7"/>
      <c r="W1" s="7"/>
      <c r="X1" s="7"/>
      <c r="Y1" s="7"/>
    </row>
    <row r="2" spans="1: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 t="s">
        <v>39</v>
      </c>
      <c r="O2" t="s">
        <v>40</v>
      </c>
      <c r="P2" t="s">
        <v>41</v>
      </c>
      <c r="R2" t="s">
        <v>42</v>
      </c>
    </row>
    <row r="3" spans="1:25">
      <c r="A3" t="s">
        <v>0</v>
      </c>
      <c r="C3" t="s">
        <v>43</v>
      </c>
      <c r="G3" t="s">
        <v>44</v>
      </c>
      <c r="K3" t="s">
        <v>45</v>
      </c>
      <c r="O3" t="s">
        <v>45</v>
      </c>
      <c r="R3" t="s">
        <v>46</v>
      </c>
    </row>
    <row r="4" spans="1:25">
      <c r="A4" t="s">
        <v>1</v>
      </c>
      <c r="I4" t="s">
        <v>43</v>
      </c>
      <c r="K4" t="s">
        <v>45</v>
      </c>
      <c r="O4" t="s">
        <v>45</v>
      </c>
      <c r="R4" s="11" t="s">
        <v>47</v>
      </c>
    </row>
    <row r="5" spans="1:25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>
      <c r="A6" t="s">
        <v>3</v>
      </c>
      <c r="E6" t="s">
        <v>43</v>
      </c>
      <c r="G6" t="s">
        <v>48</v>
      </c>
      <c r="N6" t="s">
        <v>45</v>
      </c>
      <c r="O6" t="s">
        <v>45</v>
      </c>
      <c r="R6" s="12" t="s">
        <v>49</v>
      </c>
    </row>
    <row r="7" spans="1:25">
      <c r="A7" t="s">
        <v>4</v>
      </c>
      <c r="I7" t="s">
        <v>43</v>
      </c>
      <c r="K7" t="s">
        <v>45</v>
      </c>
      <c r="R7" t="s">
        <v>50</v>
      </c>
    </row>
    <row r="8" spans="1:25">
      <c r="A8" t="s">
        <v>5</v>
      </c>
      <c r="C8" t="s">
        <v>51</v>
      </c>
      <c r="I8" t="s">
        <v>43</v>
      </c>
      <c r="K8" t="s">
        <v>45</v>
      </c>
      <c r="L8" t="s">
        <v>45</v>
      </c>
      <c r="N8" t="s">
        <v>45</v>
      </c>
      <c r="O8" t="s">
        <v>45</v>
      </c>
      <c r="R8">
        <v>1</v>
      </c>
    </row>
    <row r="9" spans="1:25">
      <c r="A9" t="s">
        <v>6</v>
      </c>
      <c r="B9" s="20" t="s">
        <v>52</v>
      </c>
      <c r="C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53</v>
      </c>
      <c r="J9" t="s">
        <v>45</v>
      </c>
      <c r="K9" t="s">
        <v>45</v>
      </c>
      <c r="L9" t="s">
        <v>45</v>
      </c>
      <c r="N9" t="s">
        <v>45</v>
      </c>
      <c r="O9" t="s">
        <v>45</v>
      </c>
      <c r="R9" s="10" t="s">
        <v>54</v>
      </c>
    </row>
    <row r="10" spans="1:25">
      <c r="A10" t="s">
        <v>55</v>
      </c>
      <c r="B10" s="20" t="s">
        <v>56</v>
      </c>
      <c r="C10" t="s">
        <v>43</v>
      </c>
      <c r="E10" t="s">
        <v>45</v>
      </c>
      <c r="F10" t="s">
        <v>45</v>
      </c>
      <c r="G10" t="s">
        <v>45</v>
      </c>
      <c r="H10" t="s">
        <v>45</v>
      </c>
      <c r="I10" t="s">
        <v>43</v>
      </c>
      <c r="J10" t="s">
        <v>45</v>
      </c>
      <c r="K10" t="s">
        <v>45</v>
      </c>
      <c r="L10" t="s">
        <v>56</v>
      </c>
      <c r="N10" t="s">
        <v>45</v>
      </c>
      <c r="O10" t="s">
        <v>45</v>
      </c>
      <c r="R10" t="s">
        <v>57</v>
      </c>
    </row>
    <row r="11" spans="1:25">
      <c r="A11" s="9" t="s">
        <v>58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G12" t="s">
        <v>59</v>
      </c>
      <c r="I12" t="s">
        <v>60</v>
      </c>
      <c r="J12" t="s">
        <v>60</v>
      </c>
      <c r="K12" t="s">
        <v>60</v>
      </c>
    </row>
    <row r="13" spans="1:25">
      <c r="G13" t="s">
        <v>61</v>
      </c>
      <c r="N13" t="s">
        <v>62</v>
      </c>
      <c r="O13" t="s">
        <v>62</v>
      </c>
    </row>
    <row r="14" spans="1:25">
      <c r="G14" t="s">
        <v>63</v>
      </c>
      <c r="N14" t="s">
        <v>64</v>
      </c>
      <c r="O14" t="s">
        <v>64</v>
      </c>
    </row>
    <row r="15" spans="1:25">
      <c r="G15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843C-847D-4155-91C5-C60FBF0D2952}">
  <dimension ref="A1:G8"/>
  <sheetViews>
    <sheetView workbookViewId="0">
      <selection activeCell="A5" sqref="A5"/>
    </sheetView>
  </sheetViews>
  <sheetFormatPr defaultRowHeight="14.5"/>
  <cols>
    <col min="1" max="1" width="18.81640625" bestFit="1" customWidth="1"/>
    <col min="2" max="2" width="7.54296875" customWidth="1"/>
    <col min="3" max="3" width="57.81640625" customWidth="1"/>
    <col min="5" max="5" width="17.54296875" customWidth="1"/>
  </cols>
  <sheetData>
    <row r="1" spans="1:7">
      <c r="A1" s="7" t="s">
        <v>19</v>
      </c>
      <c r="B1" s="7"/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ht="43.5">
      <c r="A2" t="s">
        <v>3</v>
      </c>
      <c r="C2" s="16" t="s">
        <v>71</v>
      </c>
    </row>
    <row r="3" spans="1:7" ht="29">
      <c r="C3" s="16" t="s">
        <v>72</v>
      </c>
    </row>
    <row r="4" spans="1:7" ht="43.5">
      <c r="A4" t="s">
        <v>5</v>
      </c>
      <c r="B4" t="s">
        <v>4</v>
      </c>
      <c r="C4" s="16" t="s">
        <v>73</v>
      </c>
    </row>
    <row r="5" spans="1:7" ht="87">
      <c r="A5" t="s">
        <v>6</v>
      </c>
      <c r="B5" t="s">
        <v>1</v>
      </c>
      <c r="C5" s="16" t="s">
        <v>74</v>
      </c>
    </row>
    <row r="6" spans="1:7">
      <c r="A6" t="s">
        <v>55</v>
      </c>
      <c r="B6" t="s">
        <v>0</v>
      </c>
      <c r="C6" t="s">
        <v>75</v>
      </c>
    </row>
    <row r="8" spans="1:7">
      <c r="A8" s="9"/>
      <c r="B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D03D-A3AC-49C6-B15A-190453A15694}">
  <dimension ref="A1:J159"/>
  <sheetViews>
    <sheetView tabSelected="1" topLeftCell="B1" workbookViewId="0">
      <pane ySplit="1" topLeftCell="A97" activePane="bottomLeft" state="frozen"/>
      <selection pane="bottomLeft" activeCell="D123" sqref="D123:D127"/>
    </sheetView>
  </sheetViews>
  <sheetFormatPr defaultColWidth="8.7265625" defaultRowHeight="15.5"/>
  <cols>
    <col min="1" max="1" width="10.453125" style="4" bestFit="1" customWidth="1"/>
    <col min="2" max="2" width="26.81640625" style="4" customWidth="1"/>
    <col min="3" max="3" width="31.453125" style="4" bestFit="1" customWidth="1"/>
    <col min="4" max="4" width="49.81640625" style="4" customWidth="1"/>
    <col min="5" max="5" width="73.7265625" style="4" bestFit="1" customWidth="1"/>
    <col min="6" max="6" width="27.26953125" style="4" bestFit="1" customWidth="1"/>
    <col min="7" max="7" width="32.81640625" style="4" bestFit="1" customWidth="1"/>
    <col min="8" max="8" width="29.1796875" style="4" customWidth="1"/>
    <col min="9" max="9" width="17.453125" style="4" customWidth="1"/>
    <col min="10" max="16384" width="8.7265625" style="4"/>
  </cols>
  <sheetData>
    <row r="1" spans="1:10">
      <c r="A1" s="47" t="s">
        <v>76</v>
      </c>
      <c r="B1" s="47" t="s">
        <v>77</v>
      </c>
      <c r="C1" s="47" t="s">
        <v>78</v>
      </c>
      <c r="D1" s="47" t="s">
        <v>79</v>
      </c>
      <c r="E1" s="47" t="s">
        <v>80</v>
      </c>
      <c r="F1" s="47" t="s">
        <v>81</v>
      </c>
      <c r="G1" s="47" t="s">
        <v>82</v>
      </c>
      <c r="H1" s="4" t="s">
        <v>83</v>
      </c>
      <c r="I1" s="4" t="s">
        <v>84</v>
      </c>
      <c r="J1" s="4" t="s">
        <v>85</v>
      </c>
    </row>
    <row r="2" spans="1:10">
      <c r="G2" s="4" t="s">
        <v>86</v>
      </c>
    </row>
    <row r="3" spans="1:10" ht="31">
      <c r="A3" s="4" t="s">
        <v>87</v>
      </c>
      <c r="B3" s="4" t="s">
        <v>88</v>
      </c>
      <c r="C3" s="48" t="s">
        <v>89</v>
      </c>
      <c r="D3" s="4" t="s">
        <v>90</v>
      </c>
      <c r="E3" s="4" t="s">
        <v>91</v>
      </c>
      <c r="G3" s="4" t="s">
        <v>18</v>
      </c>
    </row>
    <row r="4" spans="1:10">
      <c r="D4" s="4" t="s">
        <v>92</v>
      </c>
      <c r="E4" s="4" t="s">
        <v>93</v>
      </c>
    </row>
    <row r="5" spans="1:10">
      <c r="D5" s="4" t="s">
        <v>94</v>
      </c>
      <c r="E5" s="4" t="s">
        <v>95</v>
      </c>
      <c r="F5" s="4" t="s">
        <v>96</v>
      </c>
    </row>
    <row r="6" spans="1:10">
      <c r="D6" s="4" t="s">
        <v>97</v>
      </c>
      <c r="E6" s="4" t="s">
        <v>98</v>
      </c>
      <c r="F6" s="4" t="s">
        <v>99</v>
      </c>
    </row>
    <row r="7" spans="1:10">
      <c r="D7" s="4" t="s">
        <v>100</v>
      </c>
      <c r="E7" s="4" t="s">
        <v>101</v>
      </c>
      <c r="F7" s="4" t="s">
        <v>102</v>
      </c>
    </row>
    <row r="8" spans="1:10">
      <c r="E8" s="4" t="s">
        <v>103</v>
      </c>
    </row>
    <row r="11" spans="1:10" ht="14.15" customHeight="1">
      <c r="C11" s="4" t="s">
        <v>104</v>
      </c>
      <c r="D11" s="4" t="s">
        <v>105</v>
      </c>
      <c r="E11" s="4" t="s">
        <v>106</v>
      </c>
    </row>
    <row r="12" spans="1:10" ht="14.15" customHeight="1">
      <c r="D12" s="4" t="s">
        <v>107</v>
      </c>
      <c r="E12" s="4" t="s">
        <v>108</v>
      </c>
    </row>
    <row r="13" spans="1:10" ht="14.15" customHeight="1">
      <c r="E13" s="4" t="s">
        <v>109</v>
      </c>
    </row>
    <row r="14" spans="1:10" ht="14.15" customHeight="1"/>
    <row r="15" spans="1:10" ht="14.15" customHeight="1"/>
    <row r="16" spans="1:10" ht="14.15" customHeight="1">
      <c r="C16" s="4" t="s">
        <v>110</v>
      </c>
      <c r="D16" s="4" t="s">
        <v>111</v>
      </c>
      <c r="E16" s="4" t="s">
        <v>112</v>
      </c>
    </row>
    <row r="17" spans="3:5" ht="14.15" customHeight="1">
      <c r="E17" s="4" t="s">
        <v>113</v>
      </c>
    </row>
    <row r="18" spans="3:5">
      <c r="E18" s="4" t="s">
        <v>114</v>
      </c>
    </row>
    <row r="21" spans="3:5">
      <c r="C21" s="4" t="s">
        <v>115</v>
      </c>
      <c r="D21" s="4" t="s">
        <v>116</v>
      </c>
    </row>
    <row r="22" spans="3:5" ht="31">
      <c r="D22" s="48" t="s">
        <v>117</v>
      </c>
    </row>
    <row r="23" spans="3:5" ht="31">
      <c r="D23" s="48" t="s">
        <v>118</v>
      </c>
    </row>
    <row r="26" spans="3:5">
      <c r="C26" s="4" t="s">
        <v>119</v>
      </c>
    </row>
    <row r="29" spans="3:5">
      <c r="C29" s="4" t="s">
        <v>120</v>
      </c>
    </row>
    <row r="32" spans="3:5">
      <c r="C32" s="4" t="s">
        <v>121</v>
      </c>
    </row>
    <row r="35" spans="1:9">
      <c r="A35" s="47" t="s">
        <v>76</v>
      </c>
      <c r="B35" s="47" t="s">
        <v>77</v>
      </c>
      <c r="C35" s="47" t="s">
        <v>78</v>
      </c>
      <c r="D35" s="47" t="s">
        <v>79</v>
      </c>
      <c r="E35" s="47" t="s">
        <v>80</v>
      </c>
      <c r="F35" s="47" t="s">
        <v>81</v>
      </c>
      <c r="G35" s="47" t="s">
        <v>82</v>
      </c>
    </row>
    <row r="36" spans="1:9" ht="62">
      <c r="B36" s="48" t="s">
        <v>122</v>
      </c>
      <c r="C36" s="48" t="s">
        <v>123</v>
      </c>
      <c r="D36" s="4" t="s">
        <v>124</v>
      </c>
      <c r="E36" s="4" t="s">
        <v>125</v>
      </c>
      <c r="F36" s="4" t="s">
        <v>126</v>
      </c>
      <c r="G36" s="4" t="s">
        <v>127</v>
      </c>
      <c r="I36" s="49"/>
    </row>
    <row r="37" spans="1:9">
      <c r="D37" s="4" t="s">
        <v>128</v>
      </c>
      <c r="F37" s="4" t="s">
        <v>129</v>
      </c>
      <c r="I37" s="49" t="s">
        <v>130</v>
      </c>
    </row>
    <row r="38" spans="1:9">
      <c r="D38" s="4" t="s">
        <v>131</v>
      </c>
      <c r="E38" s="4" t="s">
        <v>132</v>
      </c>
      <c r="F38" s="4" t="s">
        <v>133</v>
      </c>
      <c r="I38" s="49" t="s">
        <v>134</v>
      </c>
    </row>
    <row r="39" spans="1:9">
      <c r="D39" s="4" t="s">
        <v>135</v>
      </c>
      <c r="I39" s="49" t="s">
        <v>136</v>
      </c>
    </row>
    <row r="40" spans="1:9">
      <c r="D40" s="4" t="s">
        <v>137</v>
      </c>
      <c r="E40" s="4" t="s">
        <v>138</v>
      </c>
      <c r="F40" s="4" t="s">
        <v>139</v>
      </c>
      <c r="I40" s="49" t="s">
        <v>140</v>
      </c>
    </row>
    <row r="41" spans="1:9">
      <c r="D41" s="4" t="s">
        <v>141</v>
      </c>
      <c r="E41" s="4" t="s">
        <v>142</v>
      </c>
      <c r="I41" s="49" t="s">
        <v>143</v>
      </c>
    </row>
    <row r="42" spans="1:9">
      <c r="I42" s="49" t="s">
        <v>144</v>
      </c>
    </row>
    <row r="43" spans="1:9">
      <c r="C43" s="4" t="s">
        <v>145</v>
      </c>
      <c r="D43" s="4" t="s">
        <v>146</v>
      </c>
      <c r="E43" s="4" t="s">
        <v>147</v>
      </c>
      <c r="F43" s="4" t="s">
        <v>148</v>
      </c>
      <c r="I43" s="49" t="s">
        <v>149</v>
      </c>
    </row>
    <row r="44" spans="1:9">
      <c r="E44" s="4" t="s">
        <v>150</v>
      </c>
      <c r="I44" s="49" t="s">
        <v>151</v>
      </c>
    </row>
    <row r="45" spans="1:9">
      <c r="E45" s="4" t="s">
        <v>152</v>
      </c>
      <c r="I45" s="49" t="s">
        <v>153</v>
      </c>
    </row>
    <row r="46" spans="1:9">
      <c r="E46" s="4" t="s">
        <v>154</v>
      </c>
      <c r="I46" s="49" t="s">
        <v>155</v>
      </c>
    </row>
    <row r="47" spans="1:9">
      <c r="E47" s="4" t="s">
        <v>156</v>
      </c>
      <c r="I47" s="49"/>
    </row>
    <row r="48" spans="1:9">
      <c r="E48" s="4" t="s">
        <v>157</v>
      </c>
      <c r="I48" s="49" t="s">
        <v>158</v>
      </c>
    </row>
    <row r="49" spans="3:9">
      <c r="E49" s="4" t="s">
        <v>159</v>
      </c>
      <c r="I49" s="49"/>
    </row>
    <row r="50" spans="3:9">
      <c r="E50" s="4" t="s">
        <v>160</v>
      </c>
      <c r="I50" s="49" t="s">
        <v>161</v>
      </c>
    </row>
    <row r="51" spans="3:9">
      <c r="E51" s="4" t="s">
        <v>162</v>
      </c>
      <c r="I51" s="49"/>
    </row>
    <row r="52" spans="3:9">
      <c r="E52" s="4" t="s">
        <v>163</v>
      </c>
      <c r="I52" s="49" t="s">
        <v>164</v>
      </c>
    </row>
    <row r="53" spans="3:9">
      <c r="E53" s="4" t="s">
        <v>165</v>
      </c>
      <c r="I53" s="49"/>
    </row>
    <row r="54" spans="3:9">
      <c r="E54" s="4" t="s">
        <v>166</v>
      </c>
      <c r="I54" s="49" t="s">
        <v>167</v>
      </c>
    </row>
    <row r="55" spans="3:9">
      <c r="E55" s="4" t="s">
        <v>168</v>
      </c>
      <c r="I55" s="49"/>
    </row>
    <row r="56" spans="3:9">
      <c r="I56" s="49" t="s">
        <v>169</v>
      </c>
    </row>
    <row r="57" spans="3:9">
      <c r="I57" s="49" t="s">
        <v>170</v>
      </c>
    </row>
    <row r="58" spans="3:9">
      <c r="I58" s="49" t="s">
        <v>171</v>
      </c>
    </row>
    <row r="59" spans="3:9">
      <c r="D59" s="4" t="s">
        <v>172</v>
      </c>
      <c r="I59" s="49" t="s">
        <v>173</v>
      </c>
    </row>
    <row r="60" spans="3:9">
      <c r="D60" s="4" t="s">
        <v>174</v>
      </c>
      <c r="F60" s="4" t="s">
        <v>175</v>
      </c>
      <c r="I60" s="49" t="s">
        <v>176</v>
      </c>
    </row>
    <row r="61" spans="3:9">
      <c r="I61" s="49" t="s">
        <v>177</v>
      </c>
    </row>
    <row r="62" spans="3:9">
      <c r="C62" s="4" t="s">
        <v>110</v>
      </c>
      <c r="F62" s="4" t="s">
        <v>178</v>
      </c>
      <c r="I62" s="49"/>
    </row>
    <row r="63" spans="3:9">
      <c r="I63" s="49" t="s">
        <v>179</v>
      </c>
    </row>
    <row r="64" spans="3:9">
      <c r="I64" s="49"/>
    </row>
    <row r="65" spans="1:9">
      <c r="I65" s="49" t="s">
        <v>180</v>
      </c>
    </row>
    <row r="66" spans="1:9">
      <c r="C66" s="4" t="s">
        <v>181</v>
      </c>
    </row>
    <row r="72" spans="1:9">
      <c r="A72" s="47" t="s">
        <v>76</v>
      </c>
      <c r="B72" s="47" t="s">
        <v>77</v>
      </c>
      <c r="C72" s="47" t="s">
        <v>78</v>
      </c>
      <c r="D72" s="47" t="s">
        <v>79</v>
      </c>
      <c r="E72" s="47" t="s">
        <v>80</v>
      </c>
      <c r="F72" s="47" t="s">
        <v>81</v>
      </c>
      <c r="G72" s="47" t="s">
        <v>82</v>
      </c>
    </row>
    <row r="73" spans="1:9">
      <c r="A73" s="4" t="s">
        <v>182</v>
      </c>
      <c r="B73" s="4" t="s">
        <v>183</v>
      </c>
      <c r="C73" s="4" t="s">
        <v>184</v>
      </c>
      <c r="D73" s="4" t="s">
        <v>185</v>
      </c>
      <c r="E73" s="4" t="s">
        <v>186</v>
      </c>
      <c r="G73" s="4" t="s">
        <v>6</v>
      </c>
    </row>
    <row r="74" spans="1:9">
      <c r="D74" s="4" t="s">
        <v>187</v>
      </c>
      <c r="E74" s="4" t="s">
        <v>188</v>
      </c>
      <c r="G74" s="4" t="s">
        <v>189</v>
      </c>
    </row>
    <row r="75" spans="1:9">
      <c r="D75" s="4" t="s">
        <v>190</v>
      </c>
    </row>
    <row r="78" spans="1:9">
      <c r="C78" s="4" t="s">
        <v>104</v>
      </c>
    </row>
    <row r="82" spans="3:5">
      <c r="C82" s="4" t="s">
        <v>110</v>
      </c>
    </row>
    <row r="88" spans="3:5">
      <c r="C88" s="4" t="s">
        <v>191</v>
      </c>
      <c r="D88" s="4" t="s">
        <v>192</v>
      </c>
      <c r="E88" s="4" t="s">
        <v>193</v>
      </c>
    </row>
    <row r="89" spans="3:5">
      <c r="D89" s="4" t="s">
        <v>194</v>
      </c>
      <c r="E89" s="4" t="s">
        <v>195</v>
      </c>
    </row>
    <row r="90" spans="3:5">
      <c r="D90" s="4" t="s">
        <v>196</v>
      </c>
      <c r="E90" s="4" t="s">
        <v>197</v>
      </c>
    </row>
    <row r="91" spans="3:5">
      <c r="D91" s="4" t="s">
        <v>198</v>
      </c>
      <c r="E91" s="4" t="s">
        <v>199</v>
      </c>
    </row>
    <row r="92" spans="3:5">
      <c r="D92" s="4" t="s">
        <v>200</v>
      </c>
      <c r="E92" s="4" t="s">
        <v>201</v>
      </c>
    </row>
    <row r="94" spans="3:5">
      <c r="C94" s="4" t="s">
        <v>202</v>
      </c>
      <c r="D94" s="4" t="s">
        <v>203</v>
      </c>
      <c r="E94" s="4" t="s">
        <v>204</v>
      </c>
    </row>
    <row r="95" spans="3:5">
      <c r="D95" s="49" t="s">
        <v>205</v>
      </c>
    </row>
    <row r="96" spans="3:5">
      <c r="D96" s="49" t="s">
        <v>206</v>
      </c>
    </row>
    <row r="97" spans="3:5">
      <c r="D97" s="49" t="s">
        <v>207</v>
      </c>
    </row>
    <row r="98" spans="3:5">
      <c r="D98" s="49" t="s">
        <v>208</v>
      </c>
    </row>
    <row r="99" spans="3:5" ht="62">
      <c r="D99" s="50" t="s">
        <v>209</v>
      </c>
    </row>
    <row r="101" spans="3:5">
      <c r="C101" s="4" t="s">
        <v>210</v>
      </c>
      <c r="D101" s="4" t="s">
        <v>211</v>
      </c>
      <c r="E101" s="4" t="s">
        <v>212</v>
      </c>
    </row>
    <row r="102" spans="3:5">
      <c r="E102" s="4" t="s">
        <v>213</v>
      </c>
    </row>
    <row r="103" spans="3:5">
      <c r="E103" s="4" t="s">
        <v>214</v>
      </c>
    </row>
    <row r="104" spans="3:5">
      <c r="C104" s="4" t="s">
        <v>215</v>
      </c>
      <c r="D104" s="4" t="s">
        <v>216</v>
      </c>
      <c r="E104" s="4" t="s">
        <v>212</v>
      </c>
    </row>
    <row r="105" spans="3:5">
      <c r="E105" s="4" t="s">
        <v>217</v>
      </c>
    </row>
    <row r="106" spans="3:5">
      <c r="E106" s="4" t="s">
        <v>214</v>
      </c>
    </row>
    <row r="107" spans="3:5">
      <c r="C107" s="4" t="s">
        <v>218</v>
      </c>
      <c r="D107" s="4" t="s">
        <v>219</v>
      </c>
      <c r="E107" s="4" t="s">
        <v>212</v>
      </c>
    </row>
    <row r="108" spans="3:5">
      <c r="E108" s="4" t="s">
        <v>213</v>
      </c>
    </row>
    <row r="109" spans="3:5">
      <c r="E109" s="4" t="s">
        <v>214</v>
      </c>
    </row>
    <row r="111" spans="3:5">
      <c r="C111" s="4" t="s">
        <v>220</v>
      </c>
      <c r="D111" s="4" t="s">
        <v>221</v>
      </c>
      <c r="E111" s="4" t="s">
        <v>212</v>
      </c>
    </row>
    <row r="112" spans="3:5">
      <c r="E112" s="4" t="s">
        <v>213</v>
      </c>
    </row>
    <row r="113" spans="1:8">
      <c r="E113" s="4" t="s">
        <v>214</v>
      </c>
    </row>
    <row r="115" spans="1:8">
      <c r="A115" s="4" t="s">
        <v>182</v>
      </c>
      <c r="B115" s="4" t="s">
        <v>222</v>
      </c>
      <c r="C115" s="4" t="s">
        <v>660</v>
      </c>
      <c r="D115" s="4" t="s">
        <v>223</v>
      </c>
      <c r="E115" s="4" t="s">
        <v>224</v>
      </c>
      <c r="F115" s="63"/>
      <c r="G115" s="63" t="s">
        <v>225</v>
      </c>
      <c r="H115" s="63" t="s">
        <v>226</v>
      </c>
    </row>
    <row r="116" spans="1:8">
      <c r="D116" s="4" t="s">
        <v>663</v>
      </c>
      <c r="E116" s="64" t="s">
        <v>227</v>
      </c>
      <c r="F116" s="63"/>
      <c r="G116" s="63"/>
      <c r="H116" s="63"/>
    </row>
    <row r="117" spans="1:8">
      <c r="D117" s="4" t="s">
        <v>661</v>
      </c>
      <c r="E117" s="64" t="s">
        <v>228</v>
      </c>
      <c r="F117" s="63"/>
      <c r="G117" s="63"/>
      <c r="H117" s="63"/>
    </row>
    <row r="118" spans="1:8">
      <c r="E118" s="64" t="s">
        <v>229</v>
      </c>
      <c r="F118" s="63"/>
      <c r="G118" s="63" t="s">
        <v>230</v>
      </c>
      <c r="H118" s="63" t="s">
        <v>226</v>
      </c>
    </row>
    <row r="119" spans="1:8">
      <c r="E119" s="64" t="s">
        <v>231</v>
      </c>
      <c r="F119" s="63"/>
      <c r="G119" s="63"/>
      <c r="H119" s="63"/>
    </row>
    <row r="120" spans="1:8">
      <c r="D120" s="4" t="s">
        <v>662</v>
      </c>
      <c r="E120" s="64" t="s">
        <v>232</v>
      </c>
      <c r="F120" s="63"/>
      <c r="G120" s="63"/>
      <c r="H120" s="63"/>
    </row>
    <row r="121" spans="1:8">
      <c r="E121" s="64" t="s">
        <v>233</v>
      </c>
      <c r="F121" s="63"/>
      <c r="G121" s="63"/>
      <c r="H121" s="63"/>
    </row>
    <row r="122" spans="1:8">
      <c r="F122" s="63"/>
      <c r="G122" s="63"/>
      <c r="H122" s="63"/>
    </row>
    <row r="123" spans="1:8">
      <c r="D123" s="4" t="s">
        <v>663</v>
      </c>
      <c r="E123" s="65" t="s">
        <v>234</v>
      </c>
      <c r="F123" s="63"/>
      <c r="G123" s="63"/>
      <c r="H123" s="63"/>
    </row>
    <row r="124" spans="1:8">
      <c r="D124" s="4" t="s">
        <v>661</v>
      </c>
      <c r="E124" s="65" t="s">
        <v>235</v>
      </c>
      <c r="F124" s="63"/>
      <c r="H124" s="63"/>
    </row>
    <row r="125" spans="1:8">
      <c r="E125" s="65" t="s">
        <v>236</v>
      </c>
      <c r="F125" s="63"/>
      <c r="G125" s="63" t="s">
        <v>237</v>
      </c>
      <c r="H125" s="63"/>
    </row>
    <row r="126" spans="1:8">
      <c r="E126" s="65" t="s">
        <v>238</v>
      </c>
      <c r="F126" s="63"/>
      <c r="G126" s="63"/>
      <c r="H126" s="63"/>
    </row>
    <row r="127" spans="1:8">
      <c r="D127" s="4" t="s">
        <v>662</v>
      </c>
      <c r="E127" s="65" t="s">
        <v>239</v>
      </c>
      <c r="F127" s="63"/>
      <c r="G127" s="63"/>
      <c r="H127" s="63"/>
    </row>
    <row r="128" spans="1:8">
      <c r="E128" s="65" t="s">
        <v>240</v>
      </c>
      <c r="F128" s="63"/>
      <c r="G128" s="63"/>
      <c r="H128" s="63"/>
    </row>
    <row r="129" spans="3:8">
      <c r="E129" s="4" t="s">
        <v>241</v>
      </c>
      <c r="F129" s="63"/>
      <c r="H129" s="63" t="s">
        <v>226</v>
      </c>
    </row>
    <row r="130" spans="3:8">
      <c r="F130" s="63"/>
      <c r="G130" s="63"/>
      <c r="H130" s="63"/>
    </row>
    <row r="132" spans="3:8">
      <c r="F132" s="63"/>
      <c r="G132" s="63"/>
      <c r="H132" s="63"/>
    </row>
    <row r="133" spans="3:8">
      <c r="C133" s="4" t="s">
        <v>242</v>
      </c>
      <c r="D133" s="4" t="s">
        <v>243</v>
      </c>
      <c r="E133" s="66" t="s">
        <v>244</v>
      </c>
      <c r="F133" s="63"/>
      <c r="G133" s="63" t="s">
        <v>225</v>
      </c>
      <c r="H133" s="63" t="s">
        <v>226</v>
      </c>
    </row>
    <row r="134" spans="3:8">
      <c r="D134" s="4" t="s">
        <v>663</v>
      </c>
      <c r="E134" s="66" t="s">
        <v>245</v>
      </c>
      <c r="F134" s="63"/>
      <c r="G134" s="63"/>
      <c r="H134" s="63"/>
    </row>
    <row r="135" spans="3:8">
      <c r="D135" s="4" t="s">
        <v>661</v>
      </c>
      <c r="E135" s="66" t="s">
        <v>246</v>
      </c>
      <c r="F135" s="63"/>
      <c r="G135" s="63"/>
      <c r="H135" s="63"/>
    </row>
    <row r="136" spans="3:8">
      <c r="E136" s="66" t="s">
        <v>247</v>
      </c>
      <c r="F136" s="63"/>
      <c r="G136" s="63"/>
      <c r="H136" s="63"/>
    </row>
    <row r="137" spans="3:8">
      <c r="E137" s="66" t="s">
        <v>248</v>
      </c>
      <c r="F137" s="63"/>
      <c r="G137" s="63"/>
      <c r="H137" s="63"/>
    </row>
    <row r="138" spans="3:8">
      <c r="D138" s="4" t="s">
        <v>662</v>
      </c>
      <c r="E138" s="66" t="s">
        <v>249</v>
      </c>
      <c r="F138" s="63"/>
      <c r="G138" s="63"/>
      <c r="H138" s="63"/>
    </row>
    <row r="139" spans="3:8">
      <c r="E139" s="66" t="s">
        <v>250</v>
      </c>
      <c r="F139" s="63"/>
      <c r="G139" s="63"/>
      <c r="H139" s="63"/>
    </row>
    <row r="140" spans="3:8">
      <c r="E140" s="66" t="s">
        <v>251</v>
      </c>
      <c r="F140" s="63"/>
      <c r="G140" s="63" t="s">
        <v>252</v>
      </c>
      <c r="H140" s="63" t="s">
        <v>226</v>
      </c>
    </row>
    <row r="141" spans="3:8">
      <c r="F141" s="63"/>
      <c r="G141" s="63"/>
      <c r="H141" s="63"/>
    </row>
    <row r="142" spans="3:8">
      <c r="D142" s="4" t="s">
        <v>663</v>
      </c>
      <c r="E142" s="67" t="s">
        <v>253</v>
      </c>
      <c r="F142" s="63"/>
      <c r="G142" s="63"/>
      <c r="H142" s="63"/>
    </row>
    <row r="143" spans="3:8">
      <c r="D143" s="4" t="s">
        <v>661</v>
      </c>
      <c r="E143" s="67" t="s">
        <v>254</v>
      </c>
      <c r="F143" s="63"/>
      <c r="G143" s="63"/>
      <c r="H143" s="63"/>
    </row>
    <row r="144" spans="3:8">
      <c r="E144" s="67" t="s">
        <v>255</v>
      </c>
      <c r="F144" s="63"/>
      <c r="G144" s="63"/>
      <c r="H144" s="63"/>
    </row>
    <row r="145" spans="1:8">
      <c r="E145" s="67" t="s">
        <v>256</v>
      </c>
      <c r="F145" s="63"/>
      <c r="G145" s="63"/>
      <c r="H145" s="63"/>
    </row>
    <row r="146" spans="1:8">
      <c r="D146" s="4" t="s">
        <v>662</v>
      </c>
      <c r="E146" s="67" t="s">
        <v>257</v>
      </c>
      <c r="F146" s="63"/>
      <c r="G146" s="63"/>
      <c r="H146" s="63"/>
    </row>
    <row r="147" spans="1:8">
      <c r="E147" s="67" t="s">
        <v>258</v>
      </c>
      <c r="F147" s="63"/>
      <c r="G147" s="63"/>
      <c r="H147" s="63"/>
    </row>
    <row r="148" spans="1:8">
      <c r="E148" s="67" t="s">
        <v>259</v>
      </c>
      <c r="F148" s="63"/>
      <c r="G148" s="63" t="s">
        <v>260</v>
      </c>
      <c r="H148" s="63" t="s">
        <v>226</v>
      </c>
    </row>
    <row r="149" spans="1:8">
      <c r="F149" s="63"/>
      <c r="G149" s="63"/>
    </row>
    <row r="150" spans="1:8">
      <c r="F150" s="63"/>
      <c r="G150" s="63"/>
    </row>
    <row r="151" spans="1:8">
      <c r="C151" s="4" t="s">
        <v>261</v>
      </c>
    </row>
    <row r="152" spans="1:8">
      <c r="C152" s="4" t="s">
        <v>262</v>
      </c>
    </row>
    <row r="153" spans="1:8">
      <c r="C153" s="4" t="s">
        <v>263</v>
      </c>
    </row>
    <row r="154" spans="1:8">
      <c r="C154" s="4" t="s">
        <v>264</v>
      </c>
    </row>
    <row r="155" spans="1:8">
      <c r="C155" s="4" t="s">
        <v>265</v>
      </c>
    </row>
    <row r="157" spans="1:8">
      <c r="A157" s="4" t="s">
        <v>87</v>
      </c>
      <c r="B157" s="4" t="s">
        <v>266</v>
      </c>
      <c r="C157" s="4" t="s">
        <v>267</v>
      </c>
    </row>
    <row r="158" spans="1:8">
      <c r="C158" s="4" t="s">
        <v>268</v>
      </c>
    </row>
    <row r="159" spans="1:8">
      <c r="C159" s="4" t="s">
        <v>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54C6-0BFE-43D0-8825-7D0818E0C7EB}">
  <dimension ref="A2:B437"/>
  <sheetViews>
    <sheetView topLeftCell="A264" workbookViewId="0">
      <selection activeCell="A172" sqref="A172"/>
    </sheetView>
  </sheetViews>
  <sheetFormatPr defaultColWidth="8.7265625" defaultRowHeight="15.5"/>
  <cols>
    <col min="1" max="16384" width="8.7265625" style="4"/>
  </cols>
  <sheetData>
    <row r="2" spans="1:1">
      <c r="A2" s="49" t="s">
        <v>270</v>
      </c>
    </row>
    <row r="3" spans="1:1">
      <c r="A3" s="49"/>
    </row>
    <row r="4" spans="1:1">
      <c r="A4" s="49" t="s">
        <v>271</v>
      </c>
    </row>
    <row r="5" spans="1:1">
      <c r="A5" s="49"/>
    </row>
    <row r="6" spans="1:1">
      <c r="A6" s="51" t="s">
        <v>272</v>
      </c>
    </row>
    <row r="7" spans="1:1">
      <c r="A7" s="49"/>
    </row>
    <row r="8" spans="1:1">
      <c r="A8" s="51" t="s">
        <v>273</v>
      </c>
    </row>
    <row r="9" spans="1:1">
      <c r="A9" s="49"/>
    </row>
    <row r="10" spans="1:1">
      <c r="A10" s="49" t="s">
        <v>274</v>
      </c>
    </row>
    <row r="11" spans="1:1">
      <c r="A11" s="52"/>
    </row>
    <row r="12" spans="1:1">
      <c r="A12" s="52" t="s">
        <v>275</v>
      </c>
    </row>
    <row r="13" spans="1:1">
      <c r="A13" s="52" t="s">
        <v>276</v>
      </c>
    </row>
    <row r="14" spans="1:1">
      <c r="A14" s="52" t="s">
        <v>277</v>
      </c>
    </row>
    <row r="15" spans="1:1">
      <c r="A15" s="53" t="s">
        <v>278</v>
      </c>
    </row>
    <row r="16" spans="1:1">
      <c r="A16" s="53" t="s">
        <v>279</v>
      </c>
    </row>
    <row r="17" spans="1:1">
      <c r="A17" s="53" t="s">
        <v>280</v>
      </c>
    </row>
    <row r="18" spans="1:1">
      <c r="A18" s="53" t="s">
        <v>281</v>
      </c>
    </row>
    <row r="19" spans="1:1">
      <c r="A19" s="49"/>
    </row>
    <row r="20" spans="1:1">
      <c r="A20" s="51" t="s">
        <v>282</v>
      </c>
    </row>
    <row r="21" spans="1:1">
      <c r="A21" s="49"/>
    </row>
    <row r="22" spans="1:1">
      <c r="A22" s="49" t="s">
        <v>283</v>
      </c>
    </row>
    <row r="23" spans="1:1">
      <c r="A23" s="49"/>
    </row>
    <row r="24" spans="1:1">
      <c r="A24" s="49" t="s">
        <v>284</v>
      </c>
    </row>
    <row r="25" spans="1:1">
      <c r="A25" s="49" t="s">
        <v>285</v>
      </c>
    </row>
    <row r="26" spans="1:1">
      <c r="A26" s="49"/>
    </row>
    <row r="27" spans="1:1">
      <c r="A27" s="49" t="s">
        <v>286</v>
      </c>
    </row>
    <row r="28" spans="1:1">
      <c r="A28" s="49" t="s">
        <v>287</v>
      </c>
    </row>
    <row r="29" spans="1:1">
      <c r="A29" s="49" t="s">
        <v>288</v>
      </c>
    </row>
    <row r="30" spans="1:1">
      <c r="A30" s="49"/>
    </row>
    <row r="31" spans="1:1">
      <c r="A31" s="49" t="s">
        <v>289</v>
      </c>
    </row>
    <row r="32" spans="1:1">
      <c r="A32" s="49" t="s">
        <v>290</v>
      </c>
    </row>
    <row r="33" spans="1:1">
      <c r="A33" s="49" t="s">
        <v>291</v>
      </c>
    </row>
    <row r="34" spans="1:1">
      <c r="A34" s="49" t="s">
        <v>292</v>
      </c>
    </row>
    <row r="35" spans="1:1">
      <c r="A35" s="49" t="s">
        <v>293</v>
      </c>
    </row>
    <row r="36" spans="1:1">
      <c r="A36" s="49"/>
    </row>
    <row r="37" spans="1:1">
      <c r="A37" s="49" t="s">
        <v>294</v>
      </c>
    </row>
    <row r="38" spans="1:1">
      <c r="A38" s="49" t="s">
        <v>295</v>
      </c>
    </row>
    <row r="39" spans="1:1">
      <c r="A39" s="49" t="s">
        <v>293</v>
      </c>
    </row>
    <row r="40" spans="1:1">
      <c r="A40" s="49"/>
    </row>
    <row r="41" spans="1:1">
      <c r="A41" s="49" t="s">
        <v>296</v>
      </c>
    </row>
    <row r="42" spans="1:1">
      <c r="A42" s="49" t="s">
        <v>297</v>
      </c>
    </row>
    <row r="43" spans="1:1">
      <c r="A43" s="49"/>
    </row>
    <row r="44" spans="1:1">
      <c r="A44" s="51" t="s">
        <v>298</v>
      </c>
    </row>
    <row r="45" spans="1:1">
      <c r="A45" s="49"/>
    </row>
    <row r="46" spans="1:1">
      <c r="A46" s="49" t="s">
        <v>284</v>
      </c>
    </row>
    <row r="47" spans="1:1">
      <c r="A47" s="49" t="s">
        <v>299</v>
      </c>
    </row>
    <row r="48" spans="1:1">
      <c r="A48" s="49"/>
    </row>
    <row r="49" spans="1:1">
      <c r="A49" s="49" t="s">
        <v>300</v>
      </c>
    </row>
    <row r="50" spans="1:1">
      <c r="A50" s="49" t="s">
        <v>301</v>
      </c>
    </row>
    <row r="51" spans="1:1">
      <c r="A51" s="49" t="s">
        <v>302</v>
      </c>
    </row>
    <row r="52" spans="1:1">
      <c r="A52" s="49"/>
    </row>
    <row r="53" spans="1:1">
      <c r="A53" s="49" t="s">
        <v>303</v>
      </c>
    </row>
    <row r="54" spans="1:1">
      <c r="A54" s="49"/>
    </row>
    <row r="55" spans="1:1">
      <c r="A55" s="49" t="s">
        <v>304</v>
      </c>
    </row>
    <row r="56" spans="1:1">
      <c r="A56" s="49"/>
    </row>
    <row r="57" spans="1:1">
      <c r="A57" s="49" t="s">
        <v>305</v>
      </c>
    </row>
    <row r="58" spans="1:1">
      <c r="A58" s="49"/>
    </row>
    <row r="59" spans="1:1">
      <c r="A59" s="49" t="s">
        <v>306</v>
      </c>
    </row>
    <row r="60" spans="1:1">
      <c r="A60" s="49" t="s">
        <v>307</v>
      </c>
    </row>
    <row r="61" spans="1:1">
      <c r="A61" s="49" t="s">
        <v>297</v>
      </c>
    </row>
    <row r="62" spans="1:1">
      <c r="A62" s="49"/>
    </row>
    <row r="63" spans="1:1">
      <c r="A63" s="51" t="s">
        <v>308</v>
      </c>
    </row>
    <row r="64" spans="1:1">
      <c r="A64" s="49"/>
    </row>
    <row r="65" spans="1:1">
      <c r="A65" s="49" t="s">
        <v>309</v>
      </c>
    </row>
    <row r="66" spans="1:1">
      <c r="A66" s="49" t="s">
        <v>310</v>
      </c>
    </row>
    <row r="67" spans="1:1">
      <c r="A67" s="49"/>
    </row>
    <row r="68" spans="1:1">
      <c r="A68" s="49" t="s">
        <v>297</v>
      </c>
    </row>
    <row r="69" spans="1:1">
      <c r="A69" s="49"/>
    </row>
    <row r="70" spans="1:1">
      <c r="A70" s="49" t="s">
        <v>311</v>
      </c>
    </row>
    <row r="71" spans="1:1">
      <c r="A71" s="49"/>
    </row>
    <row r="73" spans="1:1">
      <c r="A73" s="49"/>
    </row>
    <row r="74" spans="1:1">
      <c r="A74" s="51" t="s">
        <v>312</v>
      </c>
    </row>
    <row r="75" spans="1:1">
      <c r="A75" s="49"/>
    </row>
    <row r="76" spans="1:1">
      <c r="A76" s="49" t="s">
        <v>313</v>
      </c>
    </row>
    <row r="77" spans="1:1">
      <c r="A77" s="49"/>
    </row>
    <row r="78" spans="1:1">
      <c r="A78" s="49" t="s">
        <v>284</v>
      </c>
    </row>
    <row r="79" spans="1:1">
      <c r="A79" s="49" t="s">
        <v>314</v>
      </c>
    </row>
    <row r="80" spans="1:1">
      <c r="A80" s="49"/>
    </row>
    <row r="81" spans="1:1">
      <c r="A81" s="49" t="s">
        <v>315</v>
      </c>
    </row>
    <row r="82" spans="1:1">
      <c r="A82" s="49" t="s">
        <v>316</v>
      </c>
    </row>
    <row r="83" spans="1:1">
      <c r="A83" s="49"/>
    </row>
    <row r="84" spans="1:1">
      <c r="A84" s="49" t="s">
        <v>317</v>
      </c>
    </row>
    <row r="85" spans="1:1">
      <c r="A85" s="49"/>
    </row>
    <row r="86" spans="1:1">
      <c r="A86" s="49" t="s">
        <v>318</v>
      </c>
    </row>
    <row r="87" spans="1:1">
      <c r="A87" s="49" t="s">
        <v>319</v>
      </c>
    </row>
    <row r="88" spans="1:1">
      <c r="A88" s="49" t="s">
        <v>297</v>
      </c>
    </row>
    <row r="89" spans="1:1">
      <c r="A89" s="49"/>
    </row>
    <row r="90" spans="1:1">
      <c r="A90" s="49" t="s">
        <v>320</v>
      </c>
    </row>
    <row r="91" spans="1:1">
      <c r="A91" s="52"/>
    </row>
    <row r="92" spans="1:1">
      <c r="A92" s="52" t="s">
        <v>321</v>
      </c>
    </row>
    <row r="93" spans="1:1">
      <c r="A93" s="49"/>
    </row>
    <row r="94" spans="1:1">
      <c r="A94" s="49" t="s">
        <v>322</v>
      </c>
    </row>
    <row r="95" spans="1:1">
      <c r="A95" s="52"/>
    </row>
    <row r="96" spans="1:1">
      <c r="A96" s="52" t="s">
        <v>323</v>
      </c>
    </row>
    <row r="97" spans="1:1">
      <c r="A97" s="52" t="s">
        <v>324</v>
      </c>
    </row>
    <row r="98" spans="1:1">
      <c r="A98" s="49"/>
    </row>
    <row r="100" spans="1:1">
      <c r="A100" s="49"/>
    </row>
    <row r="101" spans="1:1">
      <c r="A101" s="51" t="s">
        <v>325</v>
      </c>
    </row>
    <row r="102" spans="1:1">
      <c r="A102" s="49"/>
    </row>
    <row r="103" spans="1:1">
      <c r="A103" s="49" t="s">
        <v>326</v>
      </c>
    </row>
    <row r="104" spans="1:1">
      <c r="A104" s="49"/>
    </row>
    <row r="105" spans="1:1">
      <c r="A105" s="49" t="s">
        <v>309</v>
      </c>
    </row>
    <row r="106" spans="1:1">
      <c r="A106" s="49" t="s">
        <v>327</v>
      </c>
    </row>
    <row r="107" spans="1:1">
      <c r="A107" s="49" t="s">
        <v>297</v>
      </c>
    </row>
    <row r="108" spans="1:1">
      <c r="A108" s="49"/>
    </row>
    <row r="109" spans="1:1">
      <c r="A109" s="54" t="s">
        <v>328</v>
      </c>
    </row>
    <row r="110" spans="1:1">
      <c r="A110" s="49"/>
    </row>
    <row r="112" spans="1:1">
      <c r="A112" s="49"/>
    </row>
    <row r="113" spans="1:1">
      <c r="A113" s="51" t="s">
        <v>329</v>
      </c>
    </row>
    <row r="114" spans="1:1">
      <c r="A114" s="49"/>
    </row>
    <row r="115" spans="1:1">
      <c r="A115" s="51" t="s">
        <v>330</v>
      </c>
    </row>
    <row r="116" spans="1:1">
      <c r="A116" s="49"/>
    </row>
    <row r="117" spans="1:1">
      <c r="A117" s="49" t="s">
        <v>309</v>
      </c>
    </row>
    <row r="118" spans="1:1">
      <c r="A118" s="49" t="s">
        <v>331</v>
      </c>
    </row>
    <row r="119" spans="1:1">
      <c r="A119" s="49" t="s">
        <v>297</v>
      </c>
    </row>
    <row r="120" spans="1:1">
      <c r="A120" s="49"/>
    </row>
    <row r="121" spans="1:1">
      <c r="A121" s="51" t="s">
        <v>332</v>
      </c>
    </row>
    <row r="122" spans="1:1">
      <c r="A122" s="49"/>
    </row>
    <row r="123" spans="1:1">
      <c r="A123" s="49" t="s">
        <v>309</v>
      </c>
    </row>
    <row r="124" spans="1:1">
      <c r="A124" s="49" t="s">
        <v>333</v>
      </c>
    </row>
    <row r="125" spans="1:1">
      <c r="A125" s="49"/>
    </row>
    <row r="126" spans="1:1">
      <c r="A126" s="49" t="s">
        <v>297</v>
      </c>
    </row>
    <row r="127" spans="1:1">
      <c r="A127" s="49"/>
    </row>
    <row r="128" spans="1:1">
      <c r="A128" s="51" t="s">
        <v>334</v>
      </c>
    </row>
    <row r="129" spans="1:1">
      <c r="A129" s="49"/>
    </row>
    <row r="130" spans="1:1">
      <c r="A130" s="49" t="s">
        <v>309</v>
      </c>
    </row>
    <row r="131" spans="1:1">
      <c r="A131" s="49" t="s">
        <v>335</v>
      </c>
    </row>
    <row r="132" spans="1:1">
      <c r="A132" s="49" t="s">
        <v>336</v>
      </c>
    </row>
    <row r="133" spans="1:1">
      <c r="A133" s="49" t="s">
        <v>297</v>
      </c>
    </row>
    <row r="134" spans="1:1">
      <c r="A134" s="49"/>
    </row>
    <row r="135" spans="1:1">
      <c r="A135" s="51" t="s">
        <v>337</v>
      </c>
    </row>
    <row r="136" spans="1:1">
      <c r="A136" s="49"/>
    </row>
    <row r="137" spans="1:1">
      <c r="A137" s="49" t="s">
        <v>309</v>
      </c>
    </row>
    <row r="138" spans="1:1">
      <c r="A138" s="49" t="s">
        <v>338</v>
      </c>
    </row>
    <row r="139" spans="1:1">
      <c r="A139" s="49" t="s">
        <v>297</v>
      </c>
    </row>
    <row r="140" spans="1:1">
      <c r="A140" s="49"/>
    </row>
    <row r="141" spans="1:1">
      <c r="A141" s="51" t="s">
        <v>339</v>
      </c>
    </row>
    <row r="142" spans="1:1">
      <c r="A142" s="49"/>
    </row>
    <row r="143" spans="1:1">
      <c r="A143" s="49" t="s">
        <v>309</v>
      </c>
    </row>
    <row r="144" spans="1:1">
      <c r="A144" s="49" t="s">
        <v>340</v>
      </c>
    </row>
    <row r="145" spans="1:1">
      <c r="A145" s="49"/>
    </row>
    <row r="146" spans="1:1">
      <c r="A146" s="49" t="s">
        <v>341</v>
      </c>
    </row>
    <row r="147" spans="1:1">
      <c r="A147" s="49" t="s">
        <v>342</v>
      </c>
    </row>
    <row r="148" spans="1:1">
      <c r="A148" s="49" t="s">
        <v>302</v>
      </c>
    </row>
    <row r="149" spans="1:1">
      <c r="A149" s="49" t="s">
        <v>297</v>
      </c>
    </row>
    <row r="151" spans="1:1">
      <c r="A151" s="49"/>
    </row>
    <row r="152" spans="1:1">
      <c r="A152" s="51" t="s">
        <v>343</v>
      </c>
    </row>
    <row r="153" spans="1:1">
      <c r="A153" s="49"/>
    </row>
    <row r="154" spans="1:1">
      <c r="A154" s="49" t="s">
        <v>344</v>
      </c>
    </row>
    <row r="155" spans="1:1">
      <c r="A155" s="49"/>
    </row>
    <row r="156" spans="1:1">
      <c r="A156" s="49" t="s">
        <v>345</v>
      </c>
    </row>
    <row r="157" spans="1:1">
      <c r="A157" s="49" t="s">
        <v>346</v>
      </c>
    </row>
    <row r="158" spans="1:1">
      <c r="A158" s="49" t="s">
        <v>347</v>
      </c>
    </row>
    <row r="159" spans="1:1">
      <c r="A159" s="49" t="s">
        <v>348</v>
      </c>
    </row>
    <row r="160" spans="1:1">
      <c r="A160" s="49" t="s">
        <v>347</v>
      </c>
    </row>
    <row r="161" spans="1:1">
      <c r="A161" s="49" t="s">
        <v>349</v>
      </c>
    </row>
    <row r="162" spans="1:1">
      <c r="A162" s="49" t="s">
        <v>347</v>
      </c>
    </row>
    <row r="163" spans="1:1">
      <c r="A163" s="49" t="s">
        <v>350</v>
      </c>
    </row>
    <row r="164" spans="1:1">
      <c r="A164" s="49" t="s">
        <v>347</v>
      </c>
    </row>
    <row r="165" spans="1:1">
      <c r="A165" s="49" t="s">
        <v>351</v>
      </c>
    </row>
    <row r="166" spans="1:1">
      <c r="A166" s="49" t="s">
        <v>347</v>
      </c>
    </row>
    <row r="167" spans="1:1">
      <c r="A167" s="49" t="s">
        <v>352</v>
      </c>
    </row>
    <row r="168" spans="1:1">
      <c r="A168" s="49" t="s">
        <v>297</v>
      </c>
    </row>
    <row r="169" spans="1:1">
      <c r="A169" s="49"/>
    </row>
    <row r="170" spans="1:1">
      <c r="A170" s="54" t="s">
        <v>353</v>
      </c>
    </row>
    <row r="171" spans="1:1">
      <c r="A171" s="49"/>
    </row>
    <row r="172" spans="1:1">
      <c r="A172" s="57" t="s">
        <v>354</v>
      </c>
    </row>
    <row r="174" spans="1:1">
      <c r="A174" s="49" t="s">
        <v>355</v>
      </c>
    </row>
    <row r="175" spans="1:1">
      <c r="A175" s="49"/>
    </row>
    <row r="176" spans="1:1">
      <c r="A176" s="51" t="s">
        <v>356</v>
      </c>
    </row>
    <row r="177" spans="1:1">
      <c r="A177" s="49"/>
    </row>
    <row r="178" spans="1:1">
      <c r="A178" s="51" t="s">
        <v>357</v>
      </c>
    </row>
    <row r="179" spans="1:1">
      <c r="A179" s="49"/>
    </row>
    <row r="180" spans="1:1">
      <c r="A180" s="49" t="s">
        <v>309</v>
      </c>
    </row>
    <row r="181" spans="1:1">
      <c r="A181" s="49" t="s">
        <v>358</v>
      </c>
    </row>
    <row r="182" spans="1:1">
      <c r="A182" s="49" t="s">
        <v>297</v>
      </c>
    </row>
    <row r="183" spans="1:1">
      <c r="A183" s="49"/>
    </row>
    <row r="184" spans="1:1">
      <c r="A184" s="49" t="s">
        <v>359</v>
      </c>
    </row>
    <row r="185" spans="1:1">
      <c r="A185" s="49"/>
    </row>
    <row r="186" spans="1:1">
      <c r="A186" s="49" t="s">
        <v>360</v>
      </c>
    </row>
    <row r="187" spans="1:1">
      <c r="A187" s="49" t="s">
        <v>341</v>
      </c>
    </row>
    <row r="188" spans="1:1">
      <c r="A188" s="49" t="s">
        <v>361</v>
      </c>
    </row>
    <row r="189" spans="1:1">
      <c r="A189" s="49" t="s">
        <v>302</v>
      </c>
    </row>
    <row r="190" spans="1:1">
      <c r="A190" s="49" t="s">
        <v>297</v>
      </c>
    </row>
    <row r="191" spans="1:1">
      <c r="A191" s="49"/>
    </row>
    <row r="192" spans="1:1">
      <c r="A192" s="49" t="s">
        <v>362</v>
      </c>
    </row>
    <row r="193" spans="1:1">
      <c r="A193" s="49"/>
    </row>
    <row r="194" spans="1:1">
      <c r="A194" s="49" t="s">
        <v>284</v>
      </c>
    </row>
    <row r="195" spans="1:1">
      <c r="A195" s="49" t="s">
        <v>363</v>
      </c>
    </row>
    <row r="196" spans="1:1">
      <c r="A196" s="49" t="s">
        <v>364</v>
      </c>
    </row>
    <row r="197" spans="1:1">
      <c r="A197" s="49" t="s">
        <v>365</v>
      </c>
    </row>
    <row r="198" spans="1:1">
      <c r="A198" s="49" t="s">
        <v>366</v>
      </c>
    </row>
    <row r="199" spans="1:1">
      <c r="A199" s="49" t="s">
        <v>361</v>
      </c>
    </row>
    <row r="200" spans="1:1">
      <c r="A200" s="49" t="s">
        <v>302</v>
      </c>
    </row>
    <row r="201" spans="1:1">
      <c r="A201" s="49" t="s">
        <v>293</v>
      </c>
    </row>
    <row r="202" spans="1:1">
      <c r="A202" s="49" t="s">
        <v>297</v>
      </c>
    </row>
    <row r="204" spans="1:1">
      <c r="A204" s="49"/>
    </row>
    <row r="205" spans="1:1">
      <c r="A205" s="51" t="s">
        <v>367</v>
      </c>
    </row>
    <row r="206" spans="1:1">
      <c r="A206" s="49"/>
    </row>
    <row r="207" spans="1:1">
      <c r="A207" s="49" t="s">
        <v>368</v>
      </c>
    </row>
    <row r="208" spans="1:1">
      <c r="A208" s="49"/>
    </row>
    <row r="209" spans="1:1">
      <c r="A209" s="49" t="s">
        <v>309</v>
      </c>
    </row>
    <row r="210" spans="1:1">
      <c r="A210" s="49" t="s">
        <v>369</v>
      </c>
    </row>
    <row r="211" spans="1:1">
      <c r="A211" s="49"/>
    </row>
    <row r="212" spans="1:1">
      <c r="A212" s="49" t="s">
        <v>297</v>
      </c>
    </row>
    <row r="213" spans="1:1">
      <c r="A213" s="49"/>
    </row>
    <row r="214" spans="1:1">
      <c r="A214" s="49" t="s">
        <v>359</v>
      </c>
    </row>
    <row r="215" spans="1:1">
      <c r="A215" s="49"/>
    </row>
    <row r="216" spans="1:1">
      <c r="A216" s="49" t="s">
        <v>360</v>
      </c>
    </row>
    <row r="217" spans="1:1">
      <c r="A217" s="49" t="s">
        <v>341</v>
      </c>
    </row>
    <row r="218" spans="1:1">
      <c r="A218" s="49" t="s">
        <v>370</v>
      </c>
    </row>
    <row r="219" spans="1:1">
      <c r="A219" s="49" t="s">
        <v>302</v>
      </c>
    </row>
    <row r="220" spans="1:1">
      <c r="A220" s="49" t="s">
        <v>297</v>
      </c>
    </row>
    <row r="221" spans="1:1">
      <c r="A221" s="49"/>
    </row>
    <row r="222" spans="1:1">
      <c r="A222" s="49" t="s">
        <v>362</v>
      </c>
    </row>
    <row r="223" spans="1:1">
      <c r="A223" s="49"/>
    </row>
    <row r="224" spans="1:1">
      <c r="A224" s="49" t="s">
        <v>284</v>
      </c>
    </row>
    <row r="225" spans="1:1">
      <c r="A225" s="49" t="s">
        <v>363</v>
      </c>
    </row>
    <row r="226" spans="1:1">
      <c r="A226" s="49" t="s">
        <v>371</v>
      </c>
    </row>
    <row r="227" spans="1:1">
      <c r="A227" s="49" t="s">
        <v>365</v>
      </c>
    </row>
    <row r="228" spans="1:1">
      <c r="A228" s="49" t="s">
        <v>366</v>
      </c>
    </row>
    <row r="229" spans="1:1">
      <c r="A229" s="49" t="s">
        <v>370</v>
      </c>
    </row>
    <row r="230" spans="1:1">
      <c r="A230" s="49" t="s">
        <v>302</v>
      </c>
    </row>
    <row r="231" spans="1:1">
      <c r="A231" s="49" t="s">
        <v>293</v>
      </c>
    </row>
    <row r="232" spans="1:1">
      <c r="A232" s="49" t="s">
        <v>336</v>
      </c>
    </row>
    <row r="233" spans="1:1">
      <c r="A233" s="49" t="s">
        <v>297</v>
      </c>
    </row>
    <row r="235" spans="1:1">
      <c r="A235" s="49"/>
    </row>
    <row r="236" spans="1:1">
      <c r="A236" s="51" t="s">
        <v>372</v>
      </c>
    </row>
    <row r="237" spans="1:1">
      <c r="A237" s="49"/>
    </row>
    <row r="238" spans="1:1">
      <c r="A238" s="49" t="s">
        <v>309</v>
      </c>
    </row>
    <row r="239" spans="1:1">
      <c r="A239" s="49" t="s">
        <v>373</v>
      </c>
    </row>
    <row r="240" spans="1:1">
      <c r="A240" s="49" t="s">
        <v>297</v>
      </c>
    </row>
    <row r="241" spans="1:1">
      <c r="A241" s="49"/>
    </row>
    <row r="242" spans="1:1">
      <c r="A242" s="49" t="s">
        <v>359</v>
      </c>
    </row>
    <row r="243" spans="1:1">
      <c r="A243" s="49"/>
    </row>
    <row r="244" spans="1:1">
      <c r="A244" s="49" t="s">
        <v>360</v>
      </c>
    </row>
    <row r="245" spans="1:1">
      <c r="A245" s="49" t="s">
        <v>341</v>
      </c>
    </row>
    <row r="246" spans="1:1">
      <c r="A246" s="49" t="s">
        <v>374</v>
      </c>
    </row>
    <row r="247" spans="1:1">
      <c r="A247" s="49" t="s">
        <v>375</v>
      </c>
    </row>
    <row r="248" spans="1:1">
      <c r="A248" s="49" t="s">
        <v>341</v>
      </c>
    </row>
    <row r="249" spans="1:1">
      <c r="A249" s="49" t="s">
        <v>376</v>
      </c>
    </row>
    <row r="250" spans="1:1">
      <c r="A250" s="49" t="s">
        <v>377</v>
      </c>
    </row>
    <row r="251" spans="1:1">
      <c r="A251" s="49" t="s">
        <v>302</v>
      </c>
    </row>
    <row r="252" spans="1:1">
      <c r="A252" s="49" t="s">
        <v>302</v>
      </c>
    </row>
    <row r="253" spans="1:1">
      <c r="A253" s="49" t="s">
        <v>378</v>
      </c>
    </row>
    <row r="254" spans="1:1">
      <c r="A254" s="49" t="s">
        <v>302</v>
      </c>
    </row>
    <row r="255" spans="1:1">
      <c r="A255" s="49" t="s">
        <v>297</v>
      </c>
    </row>
    <row r="256" spans="1:1">
      <c r="A256" s="49"/>
    </row>
    <row r="257" spans="1:1">
      <c r="A257" s="49" t="s">
        <v>362</v>
      </c>
    </row>
    <row r="258" spans="1:1">
      <c r="A258" s="49"/>
    </row>
    <row r="259" spans="1:1">
      <c r="A259" s="49" t="s">
        <v>284</v>
      </c>
    </row>
    <row r="260" spans="1:1">
      <c r="A260" s="49" t="s">
        <v>363</v>
      </c>
    </row>
    <row r="261" spans="1:1">
      <c r="A261" s="49" t="s">
        <v>379</v>
      </c>
    </row>
    <row r="262" spans="1:1">
      <c r="A262" s="49" t="s">
        <v>365</v>
      </c>
    </row>
    <row r="263" spans="1:1">
      <c r="A263" s="49" t="s">
        <v>366</v>
      </c>
    </row>
    <row r="264" spans="1:1">
      <c r="A264" s="49" t="s">
        <v>374</v>
      </c>
    </row>
    <row r="265" spans="1:1">
      <c r="A265" s="49" t="s">
        <v>375</v>
      </c>
    </row>
    <row r="266" spans="1:1">
      <c r="A266" s="49" t="s">
        <v>341</v>
      </c>
    </row>
    <row r="267" spans="1:1">
      <c r="A267" s="49" t="s">
        <v>376</v>
      </c>
    </row>
    <row r="268" spans="1:1">
      <c r="A268" s="49" t="s">
        <v>377</v>
      </c>
    </row>
    <row r="269" spans="1:1">
      <c r="A269" s="49" t="s">
        <v>302</v>
      </c>
    </row>
    <row r="270" spans="1:1">
      <c r="A270" s="49" t="s">
        <v>302</v>
      </c>
    </row>
    <row r="271" spans="1:1">
      <c r="A271" s="49" t="s">
        <v>378</v>
      </c>
    </row>
    <row r="272" spans="1:1">
      <c r="A272" s="49" t="s">
        <v>302</v>
      </c>
    </row>
    <row r="273" spans="1:1">
      <c r="A273" s="49" t="s">
        <v>293</v>
      </c>
    </row>
    <row r="274" spans="1:1">
      <c r="A274" s="49" t="s">
        <v>297</v>
      </c>
    </row>
    <row r="276" spans="1:1">
      <c r="A276" s="49"/>
    </row>
    <row r="277" spans="1:1">
      <c r="A277" s="51" t="s">
        <v>380</v>
      </c>
    </row>
    <row r="278" spans="1:1">
      <c r="A278" s="49"/>
    </row>
    <row r="279" spans="1:1">
      <c r="A279" s="49" t="s">
        <v>309</v>
      </c>
    </row>
    <row r="280" spans="1:1">
      <c r="A280" s="49" t="s">
        <v>381</v>
      </c>
    </row>
    <row r="281" spans="1:1">
      <c r="A281" s="49"/>
    </row>
    <row r="282" spans="1:1">
      <c r="A282" s="49" t="s">
        <v>297</v>
      </c>
    </row>
    <row r="283" spans="1:1">
      <c r="A283" s="49"/>
    </row>
    <row r="284" spans="1:1">
      <c r="A284" s="49" t="s">
        <v>362</v>
      </c>
    </row>
    <row r="285" spans="1:1">
      <c r="A285" s="49"/>
    </row>
    <row r="286" spans="1:1">
      <c r="A286" s="49" t="s">
        <v>284</v>
      </c>
    </row>
    <row r="287" spans="1:1">
      <c r="A287" s="49" t="s">
        <v>382</v>
      </c>
    </row>
    <row r="288" spans="1:1">
      <c r="A288" s="49" t="s">
        <v>383</v>
      </c>
    </row>
    <row r="289" spans="1:1">
      <c r="A289" s="49" t="s">
        <v>384</v>
      </c>
    </row>
    <row r="290" spans="1:1">
      <c r="A290" s="49" t="s">
        <v>293</v>
      </c>
    </row>
    <row r="291" spans="1:1">
      <c r="A291" s="49" t="s">
        <v>297</v>
      </c>
    </row>
    <row r="292" spans="1:1">
      <c r="A292" s="49"/>
    </row>
    <row r="293" spans="1:1">
      <c r="A293" s="49" t="s">
        <v>385</v>
      </c>
    </row>
    <row r="294" spans="1:1">
      <c r="A294" s="49"/>
    </row>
    <row r="296" spans="1:1">
      <c r="A296" s="49"/>
    </row>
    <row r="297" spans="1:1">
      <c r="A297" s="51" t="s">
        <v>386</v>
      </c>
    </row>
    <row r="298" spans="1:1">
      <c r="A298" s="49"/>
    </row>
    <row r="299" spans="1:1">
      <c r="A299" s="49" t="s">
        <v>387</v>
      </c>
    </row>
    <row r="300" spans="1:1">
      <c r="A300" s="49"/>
    </row>
    <row r="301" spans="1:1">
      <c r="A301" s="49" t="s">
        <v>309</v>
      </c>
    </row>
    <row r="302" spans="1:1">
      <c r="A302" s="49" t="s">
        <v>388</v>
      </c>
    </row>
    <row r="303" spans="1:1">
      <c r="A303" s="49" t="s">
        <v>297</v>
      </c>
    </row>
    <row r="304" spans="1:1">
      <c r="A304" s="49"/>
    </row>
    <row r="305" spans="1:1">
      <c r="A305" s="49" t="s">
        <v>359</v>
      </c>
    </row>
    <row r="306" spans="1:1">
      <c r="A306" s="49"/>
    </row>
    <row r="307" spans="1:1">
      <c r="A307" s="49" t="s">
        <v>360</v>
      </c>
    </row>
    <row r="308" spans="1:1">
      <c r="A308" s="49" t="s">
        <v>341</v>
      </c>
    </row>
    <row r="309" spans="1:1">
      <c r="A309" s="49" t="s">
        <v>389</v>
      </c>
    </row>
    <row r="310" spans="1:1">
      <c r="A310" s="49" t="s">
        <v>302</v>
      </c>
    </row>
    <row r="311" spans="1:1">
      <c r="A311" s="49" t="s">
        <v>297</v>
      </c>
    </row>
    <row r="313" spans="1:1">
      <c r="A313" s="49"/>
    </row>
    <row r="314" spans="1:1">
      <c r="A314" s="51" t="s">
        <v>390</v>
      </c>
    </row>
    <row r="315" spans="1:1">
      <c r="A315" s="49"/>
    </row>
    <row r="316" spans="1:1">
      <c r="A316" s="51" t="s">
        <v>391</v>
      </c>
    </row>
    <row r="317" spans="1:1">
      <c r="A317" s="49"/>
    </row>
    <row r="318" spans="1:1">
      <c r="A318" s="49" t="s">
        <v>309</v>
      </c>
    </row>
    <row r="319" spans="1:1">
      <c r="A319" s="49" t="s">
        <v>392</v>
      </c>
    </row>
    <row r="320" spans="1:1">
      <c r="A320" s="49" t="s">
        <v>297</v>
      </c>
    </row>
    <row r="321" spans="1:1">
      <c r="A321" s="49" t="s">
        <v>360</v>
      </c>
    </row>
    <row r="322" spans="1:1">
      <c r="A322" s="49" t="s">
        <v>341</v>
      </c>
    </row>
    <row r="323" spans="1:1">
      <c r="A323" s="49" t="s">
        <v>342</v>
      </c>
    </row>
    <row r="324" spans="1:1">
      <c r="A324" s="49" t="s">
        <v>302</v>
      </c>
    </row>
    <row r="325" spans="1:1">
      <c r="A325" s="49" t="s">
        <v>297</v>
      </c>
    </row>
    <row r="326" spans="1:1">
      <c r="A326" s="49"/>
    </row>
    <row r="327" spans="1:1">
      <c r="A327" s="51" t="s">
        <v>393</v>
      </c>
    </row>
    <row r="328" spans="1:1">
      <c r="A328" s="49"/>
    </row>
    <row r="329" spans="1:1">
      <c r="A329" s="49" t="s">
        <v>360</v>
      </c>
    </row>
    <row r="330" spans="1:1">
      <c r="A330" s="49" t="s">
        <v>341</v>
      </c>
    </row>
    <row r="331" spans="1:1">
      <c r="A331" s="49" t="s">
        <v>394</v>
      </c>
    </row>
    <row r="332" spans="1:1">
      <c r="A332" s="49" t="s">
        <v>302</v>
      </c>
    </row>
    <row r="333" spans="1:1">
      <c r="A333" s="49" t="s">
        <v>297</v>
      </c>
    </row>
    <row r="335" spans="1:1">
      <c r="A335" s="49"/>
    </row>
    <row r="336" spans="1:1">
      <c r="A336" s="51" t="s">
        <v>395</v>
      </c>
    </row>
    <row r="337" spans="1:1">
      <c r="A337" s="49"/>
    </row>
    <row r="338" spans="1:1">
      <c r="A338" s="49" t="s">
        <v>309</v>
      </c>
    </row>
    <row r="339" spans="1:1">
      <c r="A339" s="49" t="s">
        <v>340</v>
      </c>
    </row>
    <row r="340" spans="1:1">
      <c r="A340" s="49" t="s">
        <v>297</v>
      </c>
    </row>
    <row r="341" spans="1:1">
      <c r="A341" s="49" t="s">
        <v>360</v>
      </c>
    </row>
    <row r="342" spans="1:1">
      <c r="A342" s="49" t="s">
        <v>341</v>
      </c>
    </row>
    <row r="343" spans="1:1">
      <c r="A343" s="49" t="s">
        <v>396</v>
      </c>
    </row>
    <row r="344" spans="1:1">
      <c r="A344" s="49" t="s">
        <v>397</v>
      </c>
    </row>
    <row r="345" spans="1:1">
      <c r="A345" s="49" t="s">
        <v>378</v>
      </c>
    </row>
    <row r="346" spans="1:1">
      <c r="A346" s="49" t="s">
        <v>302</v>
      </c>
    </row>
    <row r="347" spans="1:1">
      <c r="A347" s="49" t="s">
        <v>297</v>
      </c>
    </row>
    <row r="349" spans="1:1">
      <c r="A349" s="49"/>
    </row>
    <row r="350" spans="1:1">
      <c r="A350" s="51" t="s">
        <v>398</v>
      </c>
    </row>
    <row r="351" spans="1:1">
      <c r="A351" s="49"/>
    </row>
    <row r="352" spans="1:1">
      <c r="A352" s="49" t="s">
        <v>309</v>
      </c>
    </row>
    <row r="353" spans="1:1">
      <c r="A353" s="49" t="s">
        <v>338</v>
      </c>
    </row>
    <row r="354" spans="1:1">
      <c r="A354" s="49" t="s">
        <v>297</v>
      </c>
    </row>
    <row r="355" spans="1:1">
      <c r="A355" s="49"/>
    </row>
    <row r="356" spans="1:1">
      <c r="A356" s="49" t="s">
        <v>362</v>
      </c>
    </row>
    <row r="357" spans="1:1">
      <c r="A357" s="49"/>
    </row>
    <row r="358" spans="1:1">
      <c r="A358" s="49" t="s">
        <v>284</v>
      </c>
    </row>
    <row r="359" spans="1:1">
      <c r="A359" s="49" t="s">
        <v>399</v>
      </c>
    </row>
    <row r="360" spans="1:1">
      <c r="A360" s="49" t="s">
        <v>400</v>
      </c>
    </row>
    <row r="361" spans="1:1">
      <c r="A361" s="49" t="s">
        <v>384</v>
      </c>
    </row>
    <row r="362" spans="1:1">
      <c r="A362" s="49" t="s">
        <v>401</v>
      </c>
    </row>
    <row r="363" spans="1:1">
      <c r="A363" s="49" t="s">
        <v>297</v>
      </c>
    </row>
    <row r="365" spans="1:1">
      <c r="A365" s="49"/>
    </row>
    <row r="366" spans="1:1">
      <c r="A366" s="51" t="s">
        <v>402</v>
      </c>
    </row>
    <row r="367" spans="1:1">
      <c r="A367" s="49"/>
    </row>
    <row r="368" spans="1:1">
      <c r="A368" s="49" t="s">
        <v>309</v>
      </c>
    </row>
    <row r="369" spans="1:1">
      <c r="A369" s="49" t="s">
        <v>403</v>
      </c>
    </row>
    <row r="370" spans="1:1">
      <c r="A370" s="49" t="s">
        <v>297</v>
      </c>
    </row>
    <row r="371" spans="1:1">
      <c r="A371" s="49" t="s">
        <v>360</v>
      </c>
    </row>
    <row r="372" spans="1:1">
      <c r="A372" s="49" t="s">
        <v>341</v>
      </c>
    </row>
    <row r="373" spans="1:1">
      <c r="A373" s="49" t="s">
        <v>404</v>
      </c>
    </row>
    <row r="374" spans="1:1">
      <c r="A374" s="49" t="s">
        <v>405</v>
      </c>
    </row>
    <row r="375" spans="1:1">
      <c r="A375" s="49" t="s">
        <v>406</v>
      </c>
    </row>
    <row r="376" spans="1:1">
      <c r="A376" s="49" t="s">
        <v>407</v>
      </c>
    </row>
    <row r="377" spans="1:1">
      <c r="A377" s="49" t="s">
        <v>408</v>
      </c>
    </row>
    <row r="378" spans="1:1">
      <c r="A378" s="49" t="s">
        <v>409</v>
      </c>
    </row>
    <row r="379" spans="1:1">
      <c r="A379" s="49" t="s">
        <v>375</v>
      </c>
    </row>
    <row r="380" spans="1:1">
      <c r="A380" s="49" t="s">
        <v>341</v>
      </c>
    </row>
    <row r="381" spans="1:1">
      <c r="A381" s="49" t="s">
        <v>376</v>
      </c>
    </row>
    <row r="382" spans="1:1">
      <c r="A382" s="49" t="s">
        <v>410</v>
      </c>
    </row>
    <row r="383" spans="1:1">
      <c r="A383" s="49" t="s">
        <v>302</v>
      </c>
    </row>
    <row r="384" spans="1:1">
      <c r="A384" s="49" t="s">
        <v>302</v>
      </c>
    </row>
    <row r="385" spans="1:1">
      <c r="A385" s="49" t="s">
        <v>378</v>
      </c>
    </row>
    <row r="386" spans="1:1">
      <c r="A386" s="49" t="s">
        <v>302</v>
      </c>
    </row>
    <row r="387" spans="1:1">
      <c r="A387" s="49" t="s">
        <v>302</v>
      </c>
    </row>
    <row r="388" spans="1:1">
      <c r="A388" s="49" t="s">
        <v>297</v>
      </c>
    </row>
    <row r="390" spans="1:1">
      <c r="A390" s="49"/>
    </row>
    <row r="391" spans="1:1">
      <c r="A391" s="51" t="s">
        <v>411</v>
      </c>
    </row>
    <row r="392" spans="1:1">
      <c r="A392" s="49"/>
    </row>
    <row r="393" spans="1:1">
      <c r="A393" s="49" t="s">
        <v>412</v>
      </c>
    </row>
    <row r="394" spans="1:1">
      <c r="A394" s="49"/>
    </row>
    <row r="395" spans="1:1">
      <c r="A395" s="49" t="s">
        <v>345</v>
      </c>
    </row>
    <row r="396" spans="1:1">
      <c r="A396" s="49" t="s">
        <v>413</v>
      </c>
    </row>
    <row r="397" spans="1:1">
      <c r="A397" s="49" t="s">
        <v>347</v>
      </c>
    </row>
    <row r="398" spans="1:1">
      <c r="A398" s="49" t="s">
        <v>414</v>
      </c>
    </row>
    <row r="399" spans="1:1">
      <c r="A399" s="49" t="s">
        <v>347</v>
      </c>
    </row>
    <row r="400" spans="1:1">
      <c r="A400" s="49" t="s">
        <v>415</v>
      </c>
    </row>
    <row r="401" spans="1:2">
      <c r="A401" s="49" t="s">
        <v>347</v>
      </c>
    </row>
    <row r="402" spans="1:2">
      <c r="A402" s="49" t="s">
        <v>416</v>
      </c>
    </row>
    <row r="403" spans="1:2">
      <c r="A403" s="49" t="s">
        <v>347</v>
      </c>
    </row>
    <row r="404" spans="1:2">
      <c r="A404" s="49" t="s">
        <v>417</v>
      </c>
    </row>
    <row r="405" spans="1:2">
      <c r="A405" s="49" t="s">
        <v>347</v>
      </c>
    </row>
    <row r="406" spans="1:2">
      <c r="A406" s="49" t="s">
        <v>418</v>
      </c>
    </row>
    <row r="407" spans="1:2">
      <c r="A407" s="49" t="s">
        <v>347</v>
      </c>
    </row>
    <row r="408" spans="1:2">
      <c r="A408" s="49" t="s">
        <v>391</v>
      </c>
    </row>
    <row r="409" spans="1:2">
      <c r="A409" s="49" t="s">
        <v>347</v>
      </c>
    </row>
    <row r="410" spans="1:2">
      <c r="A410" s="49" t="s">
        <v>419</v>
      </c>
    </row>
    <row r="411" spans="1:2">
      <c r="A411" s="49" t="s">
        <v>297</v>
      </c>
    </row>
    <row r="412" spans="1:2">
      <c r="A412" s="49"/>
    </row>
    <row r="413" spans="1:2">
      <c r="A413" s="51" t="s">
        <v>420</v>
      </c>
    </row>
    <row r="414" spans="1:2" ht="16" thickBot="1">
      <c r="A414" s="49"/>
    </row>
    <row r="415" spans="1:2" ht="31.5" thickBot="1">
      <c r="A415" s="55" t="s">
        <v>421</v>
      </c>
      <c r="B415" s="55" t="s">
        <v>422</v>
      </c>
    </row>
    <row r="416" spans="1:2" ht="31.5" thickBot="1">
      <c r="A416" s="56" t="s">
        <v>423</v>
      </c>
      <c r="B416" s="56" t="s">
        <v>278</v>
      </c>
    </row>
    <row r="417" spans="1:2" ht="47" thickBot="1">
      <c r="A417" s="56" t="s">
        <v>424</v>
      </c>
      <c r="B417" s="56" t="s">
        <v>279</v>
      </c>
    </row>
    <row r="418" spans="1:2" ht="31.5" thickBot="1">
      <c r="A418" s="56" t="s">
        <v>425</v>
      </c>
      <c r="B418" s="56" t="s">
        <v>280</v>
      </c>
    </row>
    <row r="419" spans="1:2" ht="109" thickBot="1">
      <c r="A419" s="56" t="s">
        <v>426</v>
      </c>
      <c r="B419" s="56" t="s">
        <v>427</v>
      </c>
    </row>
    <row r="420" spans="1:2" ht="31.5" thickBot="1">
      <c r="A420" s="56" t="s">
        <v>428</v>
      </c>
      <c r="B420" s="56" t="s">
        <v>279</v>
      </c>
    </row>
    <row r="421" spans="1:2">
      <c r="A421" s="49"/>
    </row>
    <row r="422" spans="1:2">
      <c r="A422" s="51" t="s">
        <v>429</v>
      </c>
    </row>
    <row r="423" spans="1:2">
      <c r="A423" s="49"/>
    </row>
    <row r="424" spans="1:2">
      <c r="A424" s="49" t="s">
        <v>345</v>
      </c>
    </row>
    <row r="425" spans="1:2">
      <c r="A425" s="49" t="s">
        <v>430</v>
      </c>
    </row>
    <row r="426" spans="1:2">
      <c r="A426" s="49" t="s">
        <v>431</v>
      </c>
    </row>
    <row r="427" spans="1:2">
      <c r="A427" s="49" t="s">
        <v>432</v>
      </c>
    </row>
    <row r="428" spans="1:2">
      <c r="A428" s="49" t="s">
        <v>433</v>
      </c>
    </row>
    <row r="429" spans="1:2">
      <c r="A429" s="49" t="s">
        <v>434</v>
      </c>
    </row>
    <row r="430" spans="1:2">
      <c r="A430" s="49" t="s">
        <v>435</v>
      </c>
    </row>
    <row r="431" spans="1:2">
      <c r="A431" s="49" t="s">
        <v>436</v>
      </c>
    </row>
    <row r="432" spans="1:2">
      <c r="A432" s="49" t="s">
        <v>437</v>
      </c>
    </row>
    <row r="433" spans="1:1">
      <c r="A433" s="49" t="s">
        <v>438</v>
      </c>
    </row>
    <row r="434" spans="1:1">
      <c r="A434" s="49" t="s">
        <v>403</v>
      </c>
    </row>
    <row r="435" spans="1:1">
      <c r="A435" s="49" t="s">
        <v>297</v>
      </c>
    </row>
    <row r="436" spans="1:1">
      <c r="A436" s="49"/>
    </row>
    <row r="437" spans="1:1">
      <c r="A437" s="49" t="s">
        <v>439</v>
      </c>
    </row>
  </sheetData>
  <hyperlinks>
    <hyperlink ref="A109" r:id="rId1" display="https://learn.microsoft.com/en-us/graph/api/resources/mail-api-overview?view=graph-rest-1.0" xr:uid="{39D39046-7A7D-4F91-8158-D7C746D7A7A5}"/>
    <hyperlink ref="A170" r:id="rId2" display="../../../_layouts/15/Doc.aspx?sourcedoc=%7B6942EACF-EAB8-4D20-B305-4FFEC0092FB8%7D&amp;file=Mentor%20AI%20-%20Weekly%20Status%20Update.pptx&amp;action=edit&amp;mobileredirect=true&amp;DefaultItemOpen=1" xr:uid="{9679D10F-44F5-4014-8E30-42C27DF48CB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1476-CF3B-4130-ADF8-25DB806DD0C1}">
  <dimension ref="A1:A159"/>
  <sheetViews>
    <sheetView topLeftCell="A35" workbookViewId="0"/>
  </sheetViews>
  <sheetFormatPr defaultRowHeight="14.5"/>
  <cols>
    <col min="1" max="1" width="71.453125" customWidth="1"/>
  </cols>
  <sheetData>
    <row r="1" spans="1:1" ht="15.5">
      <c r="A1" s="58" t="s">
        <v>440</v>
      </c>
    </row>
    <row r="2" spans="1:1" ht="15.5">
      <c r="A2" s="59"/>
    </row>
    <row r="3" spans="1:1" ht="15.5">
      <c r="A3" s="59" t="s">
        <v>345</v>
      </c>
    </row>
    <row r="4" spans="1:1" ht="15.5">
      <c r="A4" s="59" t="s">
        <v>441</v>
      </c>
    </row>
    <row r="5" spans="1:1" ht="15.5">
      <c r="A5" s="59" t="s">
        <v>442</v>
      </c>
    </row>
    <row r="6" spans="1:1" ht="15.5">
      <c r="A6" s="59" t="s">
        <v>443</v>
      </c>
    </row>
    <row r="7" spans="1:1" ht="15.5">
      <c r="A7" s="59" t="s">
        <v>444</v>
      </c>
    </row>
    <row r="8" spans="1:1" ht="15.5">
      <c r="A8" s="59" t="s">
        <v>445</v>
      </c>
    </row>
    <row r="9" spans="1:1" ht="15.5">
      <c r="A9" s="59" t="s">
        <v>446</v>
      </c>
    </row>
    <row r="10" spans="1:1" ht="15.5">
      <c r="A10" s="59" t="s">
        <v>447</v>
      </c>
    </row>
    <row r="11" spans="1:1" ht="15.5">
      <c r="A11" s="59" t="s">
        <v>448</v>
      </c>
    </row>
    <row r="12" spans="1:1" ht="15.5">
      <c r="A12" s="59" t="s">
        <v>449</v>
      </c>
    </row>
    <row r="13" spans="1:1" ht="15.5">
      <c r="A13" s="59" t="s">
        <v>450</v>
      </c>
    </row>
    <row r="14" spans="1:1" ht="15.5">
      <c r="A14" s="59" t="s">
        <v>451</v>
      </c>
    </row>
    <row r="15" spans="1:1" ht="15.5">
      <c r="A15" s="59" t="s">
        <v>452</v>
      </c>
    </row>
    <row r="16" spans="1:1" ht="15.5">
      <c r="A16" s="59" t="s">
        <v>453</v>
      </c>
    </row>
    <row r="17" spans="1:1" ht="15.5">
      <c r="A17" s="59" t="s">
        <v>454</v>
      </c>
    </row>
    <row r="18" spans="1:1" ht="15.5">
      <c r="A18" s="59"/>
    </row>
    <row r="19" spans="1:1" ht="15.5">
      <c r="A19" s="59" t="s">
        <v>455</v>
      </c>
    </row>
    <row r="20" spans="1:1" ht="15.5">
      <c r="A20" s="59" t="s">
        <v>456</v>
      </c>
    </row>
    <row r="21" spans="1:1" ht="15.5">
      <c r="A21" s="59" t="s">
        <v>457</v>
      </c>
    </row>
    <row r="22" spans="1:1" ht="15.5">
      <c r="A22" s="59" t="s">
        <v>458</v>
      </c>
    </row>
    <row r="23" spans="1:1" ht="15.5">
      <c r="A23" s="59" t="s">
        <v>297</v>
      </c>
    </row>
    <row r="24" spans="1:1" ht="15.5">
      <c r="A24" s="60"/>
    </row>
    <row r="25" spans="1:1" ht="15.5">
      <c r="A25" s="59"/>
    </row>
    <row r="26" spans="1:1" ht="15.5">
      <c r="A26" s="58" t="s">
        <v>459</v>
      </c>
    </row>
    <row r="27" spans="1:1" ht="15.5">
      <c r="A27" s="59"/>
    </row>
    <row r="28" spans="1:1" ht="15.5">
      <c r="A28" s="59" t="s">
        <v>345</v>
      </c>
    </row>
    <row r="29" spans="1:1" ht="15.5">
      <c r="A29" s="59" t="s">
        <v>460</v>
      </c>
    </row>
    <row r="30" spans="1:1" ht="15.5">
      <c r="A30" s="59" t="s">
        <v>461</v>
      </c>
    </row>
    <row r="31" spans="1:1" ht="15.5">
      <c r="A31" s="59" t="s">
        <v>462</v>
      </c>
    </row>
    <row r="32" spans="1:1" ht="15.5">
      <c r="A32" s="59" t="s">
        <v>463</v>
      </c>
    </row>
    <row r="33" spans="1:1" ht="15.5">
      <c r="A33" s="59" t="s">
        <v>464</v>
      </c>
    </row>
    <row r="34" spans="1:1" ht="15.5">
      <c r="A34" s="59" t="s">
        <v>465</v>
      </c>
    </row>
    <row r="35" spans="1:1" ht="15.5">
      <c r="A35" s="59" t="s">
        <v>446</v>
      </c>
    </row>
    <row r="36" spans="1:1" ht="15.5">
      <c r="A36" s="59"/>
    </row>
    <row r="37" spans="1:1" ht="15.5">
      <c r="A37" s="59" t="s">
        <v>466</v>
      </c>
    </row>
    <row r="38" spans="1:1" ht="15.5">
      <c r="A38" s="59" t="s">
        <v>467</v>
      </c>
    </row>
    <row r="39" spans="1:1" ht="15.5">
      <c r="A39" s="59" t="s">
        <v>468</v>
      </c>
    </row>
    <row r="40" spans="1:1" ht="15.5">
      <c r="A40" s="59" t="s">
        <v>469</v>
      </c>
    </row>
    <row r="41" spans="1:1" ht="15.5">
      <c r="A41" s="59" t="s">
        <v>470</v>
      </c>
    </row>
    <row r="42" spans="1:1" ht="15.5">
      <c r="A42" s="59" t="s">
        <v>446</v>
      </c>
    </row>
    <row r="43" spans="1:1" ht="15.5">
      <c r="A43" s="59"/>
    </row>
    <row r="44" spans="1:1" ht="15.5">
      <c r="A44" s="59" t="s">
        <v>466</v>
      </c>
    </row>
    <row r="45" spans="1:1" ht="15.5">
      <c r="A45" s="59" t="s">
        <v>471</v>
      </c>
    </row>
    <row r="46" spans="1:1" ht="15.5">
      <c r="A46" s="59" t="s">
        <v>472</v>
      </c>
    </row>
    <row r="47" spans="1:1" ht="15.5">
      <c r="A47" s="59" t="s">
        <v>468</v>
      </c>
    </row>
    <row r="48" spans="1:1" ht="15.5">
      <c r="A48" s="59" t="s">
        <v>469</v>
      </c>
    </row>
    <row r="49" spans="1:1" ht="15.5">
      <c r="A49" s="59" t="s">
        <v>473</v>
      </c>
    </row>
    <row r="50" spans="1:1" ht="15.5">
      <c r="A50" s="59" t="s">
        <v>446</v>
      </c>
    </row>
    <row r="51" spans="1:1" ht="15.5">
      <c r="A51" s="59"/>
    </row>
    <row r="52" spans="1:1" ht="15.5">
      <c r="A52" s="59" t="s">
        <v>466</v>
      </c>
    </row>
    <row r="53" spans="1:1" ht="15.5">
      <c r="A53" s="59" t="s">
        <v>474</v>
      </c>
    </row>
    <row r="54" spans="1:1" ht="15.5">
      <c r="A54" s="59" t="s">
        <v>475</v>
      </c>
    </row>
    <row r="55" spans="1:1" ht="15.5">
      <c r="A55" s="59" t="s">
        <v>476</v>
      </c>
    </row>
    <row r="56" spans="1:1" ht="15.5">
      <c r="A56" s="59" t="s">
        <v>468</v>
      </c>
    </row>
    <row r="57" spans="1:1" ht="15.5">
      <c r="A57" s="59" t="s">
        <v>469</v>
      </c>
    </row>
    <row r="58" spans="1:1" ht="15.5">
      <c r="A58" s="59" t="s">
        <v>477</v>
      </c>
    </row>
    <row r="59" spans="1:1" ht="15.5">
      <c r="A59" s="59" t="s">
        <v>478</v>
      </c>
    </row>
    <row r="60" spans="1:1" ht="15.5">
      <c r="A60" s="59" t="s">
        <v>479</v>
      </c>
    </row>
    <row r="61" spans="1:1" ht="15.5">
      <c r="A61" s="59" t="s">
        <v>446</v>
      </c>
    </row>
    <row r="62" spans="1:1" ht="15.5">
      <c r="A62" s="59"/>
    </row>
    <row r="63" spans="1:1" ht="15.5">
      <c r="A63" s="59" t="s">
        <v>480</v>
      </c>
    </row>
    <row r="64" spans="1:1" ht="15.5">
      <c r="A64" s="59" t="s">
        <v>481</v>
      </c>
    </row>
    <row r="65" spans="1:1" ht="15.5">
      <c r="A65" s="59" t="s">
        <v>482</v>
      </c>
    </row>
    <row r="66" spans="1:1" ht="15.5">
      <c r="A66" s="59" t="s">
        <v>483</v>
      </c>
    </row>
    <row r="67" spans="1:1" ht="15.5">
      <c r="A67" s="59" t="s">
        <v>484</v>
      </c>
    </row>
    <row r="68" spans="1:1" ht="15.5">
      <c r="A68" s="59" t="s">
        <v>485</v>
      </c>
    </row>
    <row r="69" spans="1:1" ht="15.5">
      <c r="A69" s="59" t="s">
        <v>469</v>
      </c>
    </row>
    <row r="70" spans="1:1" ht="15.5">
      <c r="A70" s="59" t="s">
        <v>486</v>
      </c>
    </row>
    <row r="71" spans="1:1" ht="15.5">
      <c r="A71" s="59" t="s">
        <v>453</v>
      </c>
    </row>
    <row r="72" spans="1:1" ht="15.5">
      <c r="A72" s="59" t="s">
        <v>454</v>
      </c>
    </row>
    <row r="73" spans="1:1" ht="15.5">
      <c r="A73" s="59"/>
    </row>
    <row r="74" spans="1:1" ht="15.5">
      <c r="A74" s="59" t="s">
        <v>487</v>
      </c>
    </row>
    <row r="75" spans="1:1" ht="15.5">
      <c r="A75" s="59" t="s">
        <v>488</v>
      </c>
    </row>
    <row r="76" spans="1:1" ht="15.5">
      <c r="A76" s="59"/>
    </row>
    <row r="77" spans="1:1" ht="15.5">
      <c r="A77" s="59" t="s">
        <v>469</v>
      </c>
    </row>
    <row r="78" spans="1:1" ht="15.5">
      <c r="A78" s="59" t="s">
        <v>446</v>
      </c>
    </row>
    <row r="79" spans="1:1" ht="15.5">
      <c r="A79" s="59"/>
    </row>
    <row r="80" spans="1:1" ht="15.5">
      <c r="A80" s="59" t="s">
        <v>480</v>
      </c>
    </row>
    <row r="81" spans="1:1" ht="15.5">
      <c r="A81" s="59" t="s">
        <v>489</v>
      </c>
    </row>
    <row r="82" spans="1:1" ht="15.5">
      <c r="A82" s="59" t="s">
        <v>490</v>
      </c>
    </row>
    <row r="83" spans="1:1" ht="15.5">
      <c r="A83" s="59" t="s">
        <v>491</v>
      </c>
    </row>
    <row r="84" spans="1:1" ht="15.5">
      <c r="A84" s="59" t="s">
        <v>485</v>
      </c>
    </row>
    <row r="85" spans="1:1" ht="15.5">
      <c r="A85" s="59" t="s">
        <v>469</v>
      </c>
    </row>
    <row r="86" spans="1:1" ht="15.5">
      <c r="A86" s="59" t="s">
        <v>446</v>
      </c>
    </row>
    <row r="87" spans="1:1" ht="15.5">
      <c r="A87" s="59"/>
    </row>
    <row r="88" spans="1:1" ht="15.5">
      <c r="A88" s="59" t="s">
        <v>480</v>
      </c>
    </row>
    <row r="89" spans="1:1" ht="15.5">
      <c r="A89" s="59" t="s">
        <v>492</v>
      </c>
    </row>
    <row r="90" spans="1:1" ht="15.5">
      <c r="A90" s="59" t="s">
        <v>493</v>
      </c>
    </row>
    <row r="91" spans="1:1" ht="15.5">
      <c r="A91" s="59" t="s">
        <v>494</v>
      </c>
    </row>
    <row r="92" spans="1:1" ht="15.5">
      <c r="A92" s="59" t="s">
        <v>485</v>
      </c>
    </row>
    <row r="93" spans="1:1" ht="15.5">
      <c r="A93" s="59" t="s">
        <v>469</v>
      </c>
    </row>
    <row r="94" spans="1:1" ht="15.5">
      <c r="A94" s="59" t="s">
        <v>495</v>
      </c>
    </row>
    <row r="95" spans="1:1" ht="15.5">
      <c r="A95" s="59" t="s">
        <v>449</v>
      </c>
    </row>
    <row r="96" spans="1:1" ht="15.5">
      <c r="A96" s="59" t="s">
        <v>496</v>
      </c>
    </row>
    <row r="97" spans="1:1" ht="15.5">
      <c r="A97" s="59"/>
    </row>
    <row r="98" spans="1:1" ht="15.5">
      <c r="A98" s="59" t="s">
        <v>497</v>
      </c>
    </row>
    <row r="99" spans="1:1" ht="15.5">
      <c r="A99" s="59" t="s">
        <v>498</v>
      </c>
    </row>
    <row r="100" spans="1:1" ht="15.5">
      <c r="A100" s="59"/>
    </row>
    <row r="101" spans="1:1" ht="15.5">
      <c r="A101" s="59" t="s">
        <v>449</v>
      </c>
    </row>
    <row r="102" spans="1:1" ht="15.5">
      <c r="A102" s="59" t="s">
        <v>499</v>
      </c>
    </row>
    <row r="103" spans="1:1" ht="15.5">
      <c r="A103" s="59" t="s">
        <v>446</v>
      </c>
    </row>
    <row r="104" spans="1:1" ht="15.5">
      <c r="A104" s="59"/>
    </row>
    <row r="105" spans="1:1" ht="15.5">
      <c r="A105" s="59" t="s">
        <v>480</v>
      </c>
    </row>
    <row r="106" spans="1:1" ht="15.5">
      <c r="A106" s="59" t="s">
        <v>500</v>
      </c>
    </row>
    <row r="107" spans="1:1" ht="15.5">
      <c r="A107" s="59" t="s">
        <v>501</v>
      </c>
    </row>
    <row r="108" spans="1:1" ht="15.5">
      <c r="A108" s="59" t="s">
        <v>502</v>
      </c>
    </row>
    <row r="109" spans="1:1" ht="15.5">
      <c r="A109" s="59" t="s">
        <v>503</v>
      </c>
    </row>
    <row r="110" spans="1:1" ht="15.5">
      <c r="A110" s="59" t="s">
        <v>504</v>
      </c>
    </row>
    <row r="111" spans="1:1" ht="15.5">
      <c r="A111" s="59" t="s">
        <v>485</v>
      </c>
    </row>
    <row r="112" spans="1:1" ht="15.5">
      <c r="A112" s="59" t="s">
        <v>469</v>
      </c>
    </row>
    <row r="113" spans="1:1" ht="15.5">
      <c r="A113" s="59" t="s">
        <v>446</v>
      </c>
    </row>
    <row r="114" spans="1:1" ht="15.5">
      <c r="A114" s="59"/>
    </row>
    <row r="115" spans="1:1" ht="15.5">
      <c r="A115" s="59" t="s">
        <v>480</v>
      </c>
    </row>
    <row r="116" spans="1:1" ht="15.5">
      <c r="A116" s="59" t="s">
        <v>467</v>
      </c>
    </row>
    <row r="117" spans="1:1" ht="15.5">
      <c r="A117" s="59" t="s">
        <v>505</v>
      </c>
    </row>
    <row r="118" spans="1:1" ht="15.5">
      <c r="A118" s="59" t="s">
        <v>506</v>
      </c>
    </row>
    <row r="119" spans="1:1" ht="15.5">
      <c r="A119" s="59" t="s">
        <v>507</v>
      </c>
    </row>
    <row r="120" spans="1:1" ht="15.5">
      <c r="A120" s="59" t="s">
        <v>508</v>
      </c>
    </row>
    <row r="121" spans="1:1" ht="15.5">
      <c r="A121" s="59" t="s">
        <v>509</v>
      </c>
    </row>
    <row r="122" spans="1:1" ht="15.5">
      <c r="A122" s="59" t="s">
        <v>485</v>
      </c>
    </row>
    <row r="123" spans="1:1" ht="15.5">
      <c r="A123" s="59" t="s">
        <v>469</v>
      </c>
    </row>
    <row r="124" spans="1:1" ht="15.5">
      <c r="A124" s="59" t="s">
        <v>446</v>
      </c>
    </row>
    <row r="125" spans="1:1" ht="15.5">
      <c r="A125" s="59"/>
    </row>
    <row r="126" spans="1:1" ht="15.5">
      <c r="A126" s="59" t="s">
        <v>480</v>
      </c>
    </row>
    <row r="127" spans="1:1" ht="15.5">
      <c r="A127" s="59" t="s">
        <v>510</v>
      </c>
    </row>
    <row r="128" spans="1:1" ht="15.5">
      <c r="A128" s="59" t="s">
        <v>511</v>
      </c>
    </row>
    <row r="129" spans="1:1" ht="15.5">
      <c r="A129" s="59" t="s">
        <v>512</v>
      </c>
    </row>
    <row r="130" spans="1:1" ht="15.5">
      <c r="A130" s="60"/>
    </row>
    <row r="131" spans="1:1" ht="15.5">
      <c r="A131" s="59"/>
    </row>
    <row r="132" spans="1:1" ht="15.5">
      <c r="A132" s="58" t="s">
        <v>513</v>
      </c>
    </row>
    <row r="133" spans="1:1" ht="15.5">
      <c r="A133" s="59"/>
    </row>
    <row r="134" spans="1:1" ht="15.5">
      <c r="A134" s="59" t="s">
        <v>345</v>
      </c>
    </row>
    <row r="135" spans="1:1" ht="15.5">
      <c r="A135" s="59" t="s">
        <v>514</v>
      </c>
    </row>
    <row r="136" spans="1:1" ht="15.5">
      <c r="A136" s="59" t="s">
        <v>515</v>
      </c>
    </row>
    <row r="137" spans="1:1" ht="15.5">
      <c r="A137" s="59" t="s">
        <v>516</v>
      </c>
    </row>
    <row r="138" spans="1:1" ht="15.5">
      <c r="A138" s="59" t="s">
        <v>517</v>
      </c>
    </row>
    <row r="139" spans="1:1" ht="15.5">
      <c r="A139" s="59" t="s">
        <v>518</v>
      </c>
    </row>
    <row r="140" spans="1:1" ht="15.5">
      <c r="A140" s="59" t="s">
        <v>469</v>
      </c>
    </row>
    <row r="141" spans="1:1" ht="15.5">
      <c r="A141" s="59" t="s">
        <v>446</v>
      </c>
    </row>
    <row r="142" spans="1:1" ht="15.5">
      <c r="A142" s="59"/>
    </row>
    <row r="143" spans="1:1" ht="15.5">
      <c r="A143" s="59" t="s">
        <v>514</v>
      </c>
    </row>
    <row r="144" spans="1:1" ht="15.5">
      <c r="A144" s="59" t="s">
        <v>519</v>
      </c>
    </row>
    <row r="145" spans="1:1" ht="15.5">
      <c r="A145" s="59" t="s">
        <v>520</v>
      </c>
    </row>
    <row r="146" spans="1:1" ht="15.5">
      <c r="A146" s="59" t="s">
        <v>518</v>
      </c>
    </row>
    <row r="147" spans="1:1" ht="15.5">
      <c r="A147" s="59" t="s">
        <v>469</v>
      </c>
    </row>
    <row r="148" spans="1:1" ht="15.5">
      <c r="A148" s="59" t="s">
        <v>446</v>
      </c>
    </row>
    <row r="149" spans="1:1" ht="15.5">
      <c r="A149" s="59"/>
    </row>
    <row r="150" spans="1:1" ht="15.5">
      <c r="A150" s="59" t="s">
        <v>514</v>
      </c>
    </row>
    <row r="151" spans="1:1" ht="15.5">
      <c r="A151" s="59" t="s">
        <v>521</v>
      </c>
    </row>
    <row r="152" spans="1:1" ht="15.5">
      <c r="A152" s="59" t="s">
        <v>522</v>
      </c>
    </row>
    <row r="153" spans="1:1" ht="15.5">
      <c r="A153" s="59" t="s">
        <v>518</v>
      </c>
    </row>
    <row r="154" spans="1:1" ht="15.5">
      <c r="A154" s="59" t="s">
        <v>469</v>
      </c>
    </row>
    <row r="155" spans="1:1" ht="15.5">
      <c r="A155" s="59" t="s">
        <v>446</v>
      </c>
    </row>
    <row r="156" spans="1:1" ht="15.5">
      <c r="A156" s="59"/>
    </row>
    <row r="157" spans="1:1" ht="15.5">
      <c r="A157" s="59" t="s">
        <v>514</v>
      </c>
    </row>
    <row r="158" spans="1:1" ht="15.5">
      <c r="A158" s="59" t="s">
        <v>523</v>
      </c>
    </row>
    <row r="159" spans="1:1" ht="15.5">
      <c r="A159" s="59" t="s">
        <v>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0104-B8A7-418E-B89E-8E40A32B65D0}">
  <dimension ref="A1:S43"/>
  <sheetViews>
    <sheetView topLeftCell="I1" workbookViewId="0">
      <selection activeCell="H42" sqref="H42:H43"/>
    </sheetView>
  </sheetViews>
  <sheetFormatPr defaultRowHeight="14.5"/>
  <cols>
    <col min="7" max="7" width="13.1796875" bestFit="1" customWidth="1"/>
    <col min="9" max="9" width="23" customWidth="1"/>
    <col min="10" max="10" width="23.1796875" bestFit="1" customWidth="1"/>
    <col min="11" max="11" width="11.81640625" bestFit="1" customWidth="1"/>
    <col min="12" max="12" width="25.54296875" customWidth="1"/>
    <col min="13" max="13" width="17.26953125" bestFit="1" customWidth="1"/>
    <col min="16" max="16" width="14.54296875" bestFit="1" customWidth="1"/>
    <col min="17" max="17" width="9.54296875" bestFit="1" customWidth="1"/>
    <col min="18" max="18" width="15.1796875" customWidth="1"/>
  </cols>
  <sheetData>
    <row r="1" spans="1:19" ht="15.5">
      <c r="A1" s="4" t="s">
        <v>18</v>
      </c>
      <c r="D1" t="s">
        <v>525</v>
      </c>
      <c r="G1" t="s">
        <v>526</v>
      </c>
      <c r="K1" s="15" t="s">
        <v>527</v>
      </c>
      <c r="L1" s="15" t="s">
        <v>528</v>
      </c>
      <c r="M1" s="15" t="s">
        <v>529</v>
      </c>
      <c r="N1" s="15" t="s">
        <v>530</v>
      </c>
      <c r="O1" s="15" t="s">
        <v>60</v>
      </c>
      <c r="P1" s="15" t="s">
        <v>531</v>
      </c>
      <c r="Q1" s="15" t="s">
        <v>532</v>
      </c>
      <c r="R1" s="15" t="s">
        <v>533</v>
      </c>
      <c r="S1" s="15" t="s">
        <v>534</v>
      </c>
    </row>
    <row r="2" spans="1:19" ht="15.5">
      <c r="A2" s="5" t="s">
        <v>535</v>
      </c>
      <c r="D2" t="s">
        <v>536</v>
      </c>
      <c r="G2" t="s">
        <v>537</v>
      </c>
      <c r="J2" t="s">
        <v>87</v>
      </c>
      <c r="Q2" t="s">
        <v>538</v>
      </c>
    </row>
    <row r="3" spans="1:19" ht="15.5">
      <c r="A3" s="2" t="s">
        <v>539</v>
      </c>
      <c r="D3" t="s">
        <v>540</v>
      </c>
      <c r="G3" t="s">
        <v>541</v>
      </c>
      <c r="I3" t="s">
        <v>542</v>
      </c>
      <c r="K3" t="s">
        <v>0</v>
      </c>
      <c r="L3" t="s">
        <v>543</v>
      </c>
      <c r="M3" t="s">
        <v>544</v>
      </c>
      <c r="N3" t="s">
        <v>545</v>
      </c>
      <c r="O3" t="s">
        <v>60</v>
      </c>
      <c r="P3" t="s">
        <v>546</v>
      </c>
      <c r="Q3">
        <v>1</v>
      </c>
      <c r="R3" t="s">
        <v>547</v>
      </c>
      <c r="S3" t="s">
        <v>548</v>
      </c>
    </row>
    <row r="4" spans="1:19" ht="15.5">
      <c r="A4" s="2"/>
      <c r="Q4">
        <v>2</v>
      </c>
      <c r="R4" t="s">
        <v>549</v>
      </c>
      <c r="S4" t="s">
        <v>550</v>
      </c>
    </row>
    <row r="5" spans="1:19" ht="15.5">
      <c r="A5" s="2"/>
      <c r="Q5">
        <v>3</v>
      </c>
      <c r="R5" t="s">
        <v>551</v>
      </c>
    </row>
    <row r="6" spans="1:19" ht="15.5">
      <c r="A6" s="2" t="s">
        <v>552</v>
      </c>
      <c r="D6" t="s">
        <v>553</v>
      </c>
      <c r="I6" t="s">
        <v>554</v>
      </c>
    </row>
    <row r="7" spans="1:19" ht="15.5">
      <c r="A7" s="3" t="s">
        <v>555</v>
      </c>
      <c r="D7" t="s">
        <v>556</v>
      </c>
      <c r="I7" t="s">
        <v>557</v>
      </c>
    </row>
    <row r="8" spans="1:19" ht="15.5">
      <c r="A8" s="2" t="s">
        <v>189</v>
      </c>
      <c r="D8" t="s">
        <v>558</v>
      </c>
      <c r="I8" t="s">
        <v>559</v>
      </c>
    </row>
    <row r="9" spans="1:19">
      <c r="I9" t="s">
        <v>560</v>
      </c>
    </row>
    <row r="10" spans="1:19">
      <c r="I10" t="s">
        <v>561</v>
      </c>
    </row>
    <row r="11" spans="1:19">
      <c r="I11" t="s">
        <v>562</v>
      </c>
    </row>
    <row r="12" spans="1:19">
      <c r="I12" t="s">
        <v>563</v>
      </c>
    </row>
    <row r="13" spans="1:19">
      <c r="I13" t="s">
        <v>564</v>
      </c>
    </row>
    <row r="14" spans="1:19">
      <c r="I14" t="s">
        <v>565</v>
      </c>
    </row>
    <row r="15" spans="1:19">
      <c r="I15" t="s">
        <v>566</v>
      </c>
    </row>
    <row r="16" spans="1:19">
      <c r="I16" t="s">
        <v>567</v>
      </c>
    </row>
    <row r="17" spans="9:14">
      <c r="I17" t="s">
        <v>568</v>
      </c>
    </row>
    <row r="18" spans="9:14">
      <c r="I18" t="s">
        <v>569</v>
      </c>
    </row>
    <row r="19" spans="9:14">
      <c r="I19" t="s">
        <v>570</v>
      </c>
    </row>
    <row r="20" spans="9:14">
      <c r="I20" t="s">
        <v>571</v>
      </c>
    </row>
    <row r="21" spans="9:14">
      <c r="I21" t="s">
        <v>572</v>
      </c>
    </row>
    <row r="23" spans="9:14">
      <c r="I23" s="6"/>
      <c r="J23" s="6"/>
      <c r="K23" s="6"/>
      <c r="L23" s="6" t="s">
        <v>573</v>
      </c>
      <c r="M23" s="6"/>
    </row>
    <row r="24" spans="9:14">
      <c r="I24" s="6"/>
      <c r="J24" s="6"/>
      <c r="K24" s="6"/>
      <c r="L24" s="6" t="s">
        <v>574</v>
      </c>
      <c r="M24" s="6"/>
    </row>
    <row r="25" spans="9:14">
      <c r="I25" t="s">
        <v>575</v>
      </c>
      <c r="J25" s="15" t="s">
        <v>576</v>
      </c>
      <c r="K25" s="20" t="s">
        <v>577</v>
      </c>
      <c r="L25" s="21" t="s">
        <v>578</v>
      </c>
      <c r="M25" s="13" t="s">
        <v>579</v>
      </c>
    </row>
    <row r="26" spans="9:14" ht="14.5" customHeight="1">
      <c r="I26" s="27" t="s">
        <v>183</v>
      </c>
      <c r="J26" s="68" t="s">
        <v>580</v>
      </c>
      <c r="K26" s="68"/>
      <c r="L26" s="28"/>
      <c r="M26" s="27"/>
      <c r="N26">
        <v>3</v>
      </c>
    </row>
    <row r="27" spans="9:14" ht="29.15" customHeight="1">
      <c r="I27" s="26" t="s">
        <v>183</v>
      </c>
      <c r="J27" s="26"/>
      <c r="K27" s="69" t="s">
        <v>581</v>
      </c>
      <c r="L27" s="69"/>
      <c r="M27" s="26"/>
      <c r="N27">
        <v>6</v>
      </c>
    </row>
    <row r="28" spans="9:14">
      <c r="I28" t="s">
        <v>582</v>
      </c>
      <c r="J28" t="s">
        <v>583</v>
      </c>
      <c r="K28" s="70" t="s">
        <v>584</v>
      </c>
      <c r="L28" s="70"/>
    </row>
    <row r="29" spans="9:14">
      <c r="L29" t="s">
        <v>585</v>
      </c>
    </row>
    <row r="30" spans="9:14">
      <c r="L30" t="s">
        <v>533</v>
      </c>
    </row>
    <row r="33" spans="7:13">
      <c r="G33" t="s">
        <v>586</v>
      </c>
      <c r="H33" s="24"/>
      <c r="I33" s="24"/>
      <c r="J33" s="24"/>
      <c r="K33" s="24"/>
      <c r="L33" s="24"/>
      <c r="M33" s="24"/>
    </row>
    <row r="34" spans="7:13">
      <c r="H34" s="24" t="s">
        <v>587</v>
      </c>
      <c r="I34" s="61" t="s">
        <v>588</v>
      </c>
      <c r="J34" s="61" t="s">
        <v>589</v>
      </c>
      <c r="K34" s="61" t="s">
        <v>590</v>
      </c>
      <c r="L34" s="62" t="s">
        <v>591</v>
      </c>
      <c r="M34" s="62" t="s">
        <v>592</v>
      </c>
    </row>
    <row r="35" spans="7:13">
      <c r="H35" s="24"/>
      <c r="I35" s="61" t="s">
        <v>593</v>
      </c>
      <c r="J35" s="61" t="s">
        <v>594</v>
      </c>
      <c r="K35" s="61" t="s">
        <v>595</v>
      </c>
      <c r="L35" s="62" t="s">
        <v>596</v>
      </c>
      <c r="M35" s="62" t="s">
        <v>592</v>
      </c>
    </row>
    <row r="36" spans="7:13">
      <c r="H36" s="24"/>
      <c r="I36" s="61" t="s">
        <v>597</v>
      </c>
      <c r="J36" s="61" t="s">
        <v>598</v>
      </c>
      <c r="K36" s="61"/>
      <c r="L36" s="62" t="s">
        <v>599</v>
      </c>
      <c r="M36" s="62" t="s">
        <v>592</v>
      </c>
    </row>
    <row r="37" spans="7:13">
      <c r="H37" s="24"/>
      <c r="I37" s="61"/>
      <c r="J37" s="61" t="s">
        <v>600</v>
      </c>
      <c r="K37" s="61"/>
      <c r="L37" s="62"/>
      <c r="M37" s="62"/>
    </row>
    <row r="38" spans="7:13">
      <c r="H38" s="24"/>
      <c r="I38" s="24"/>
      <c r="J38" s="24" t="s">
        <v>601</v>
      </c>
      <c r="K38" s="24" t="s">
        <v>602</v>
      </c>
      <c r="L38" s="24"/>
      <c r="M38" s="24"/>
    </row>
    <row r="39" spans="7:13">
      <c r="G39" t="s">
        <v>603</v>
      </c>
      <c r="H39" s="24" t="s">
        <v>604</v>
      </c>
      <c r="I39" s="24"/>
      <c r="J39" s="24"/>
      <c r="K39" s="24"/>
      <c r="L39" s="24"/>
      <c r="M39" s="24"/>
    </row>
    <row r="40" spans="7:13">
      <c r="H40" s="24"/>
      <c r="I40" s="24"/>
      <c r="J40" s="24"/>
      <c r="K40" s="24"/>
      <c r="L40" s="24"/>
      <c r="M40" s="24"/>
    </row>
    <row r="42" spans="7:13">
      <c r="G42" t="s">
        <v>605</v>
      </c>
      <c r="H42" t="s">
        <v>606</v>
      </c>
    </row>
    <row r="43" spans="7:13">
      <c r="H43" t="s">
        <v>603</v>
      </c>
    </row>
  </sheetData>
  <mergeCells count="3">
    <mergeCell ref="J26:K2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80AB-5FB2-4269-BA9D-ED706445AC99}">
  <dimension ref="A1:J11"/>
  <sheetViews>
    <sheetView zoomScale="140" zoomScaleNormal="140" workbookViewId="0">
      <selection activeCell="A8" sqref="A8"/>
    </sheetView>
  </sheetViews>
  <sheetFormatPr defaultColWidth="8.7265625" defaultRowHeight="13"/>
  <cols>
    <col min="1" max="1" width="18.81640625" style="29" bestFit="1" customWidth="1"/>
    <col min="2" max="2" width="21.7265625" style="29" bestFit="1" customWidth="1"/>
    <col min="3" max="3" width="25.81640625" style="29" bestFit="1" customWidth="1"/>
    <col min="4" max="4" width="21.81640625" style="29" customWidth="1"/>
    <col min="5" max="5" width="18.54296875" style="29" bestFit="1" customWidth="1"/>
    <col min="6" max="6" width="12.26953125" style="29" bestFit="1" customWidth="1"/>
    <col min="7" max="7" width="19.81640625" style="29" bestFit="1" customWidth="1"/>
    <col min="8" max="8" width="19" style="29" bestFit="1" customWidth="1"/>
    <col min="9" max="9" width="18.1796875" style="29" bestFit="1" customWidth="1"/>
    <col min="10" max="16384" width="8.7265625" style="29"/>
  </cols>
  <sheetData>
    <row r="1" spans="1:10">
      <c r="A1" s="46"/>
      <c r="B1" s="46"/>
      <c r="C1" s="46" t="s">
        <v>607</v>
      </c>
      <c r="D1" s="46" t="s">
        <v>608</v>
      </c>
      <c r="E1" s="46" t="s">
        <v>609</v>
      </c>
      <c r="F1" s="46" t="s">
        <v>610</v>
      </c>
      <c r="G1" s="46" t="s">
        <v>611</v>
      </c>
      <c r="H1" s="46" t="s">
        <v>612</v>
      </c>
      <c r="I1" s="46" t="s">
        <v>613</v>
      </c>
      <c r="J1" s="46"/>
    </row>
    <row r="2" spans="1:10">
      <c r="A2" s="31" t="s">
        <v>0</v>
      </c>
      <c r="B2" s="31" t="s">
        <v>614</v>
      </c>
      <c r="C2" s="29" t="s">
        <v>620</v>
      </c>
      <c r="D2" s="29" t="s">
        <v>615</v>
      </c>
      <c r="E2" s="29" t="s">
        <v>556</v>
      </c>
      <c r="F2" s="40">
        <v>46294</v>
      </c>
      <c r="G2" s="40">
        <v>46300</v>
      </c>
      <c r="H2" s="32"/>
      <c r="I2" s="32"/>
      <c r="J2" s="29" t="s">
        <v>616</v>
      </c>
    </row>
    <row r="3" spans="1:10">
      <c r="A3" s="35" t="s">
        <v>2</v>
      </c>
      <c r="B3" s="35"/>
    </row>
    <row r="4" spans="1:10">
      <c r="A4" s="36" t="s">
        <v>3</v>
      </c>
      <c r="B4" s="36"/>
      <c r="C4" s="37" t="s">
        <v>617</v>
      </c>
      <c r="D4" s="37" t="s">
        <v>618</v>
      </c>
      <c r="E4" s="38" t="s">
        <v>536</v>
      </c>
      <c r="F4" s="36" t="s">
        <v>619</v>
      </c>
      <c r="G4" s="36"/>
      <c r="H4" s="39">
        <v>46296</v>
      </c>
      <c r="I4" s="39">
        <v>46572</v>
      </c>
    </row>
    <row r="5" spans="1:10">
      <c r="A5" s="36" t="s">
        <v>5</v>
      </c>
      <c r="B5" s="36"/>
      <c r="C5" s="42" t="s">
        <v>607</v>
      </c>
      <c r="D5" s="36" t="s">
        <v>608</v>
      </c>
      <c r="E5" s="38" t="s">
        <v>553</v>
      </c>
      <c r="F5" s="36" t="s">
        <v>619</v>
      </c>
      <c r="G5" s="36"/>
      <c r="H5" s="39">
        <v>46296</v>
      </c>
      <c r="I5" s="39">
        <v>46572</v>
      </c>
    </row>
    <row r="6" spans="1:10">
      <c r="A6" s="29" t="s">
        <v>6</v>
      </c>
      <c r="C6" s="29" t="s">
        <v>620</v>
      </c>
      <c r="D6" s="29" t="s">
        <v>621</v>
      </c>
      <c r="E6" s="36" t="s">
        <v>558</v>
      </c>
      <c r="F6" s="33">
        <v>46289</v>
      </c>
      <c r="G6" s="43">
        <v>46294.619317129633</v>
      </c>
      <c r="H6" s="44">
        <v>46310</v>
      </c>
      <c r="I6" s="44">
        <v>46356</v>
      </c>
    </row>
    <row r="7" spans="1:10">
      <c r="A7" s="36" t="s">
        <v>55</v>
      </c>
      <c r="B7" s="36"/>
      <c r="C7" s="36" t="s">
        <v>607</v>
      </c>
      <c r="D7" s="36" t="s">
        <v>621</v>
      </c>
      <c r="E7" s="38" t="s">
        <v>536</v>
      </c>
      <c r="F7" s="36" t="s">
        <v>619</v>
      </c>
      <c r="G7" s="36"/>
      <c r="H7" s="45">
        <v>46032</v>
      </c>
      <c r="I7" s="45">
        <v>46484</v>
      </c>
    </row>
    <row r="8" spans="1:10">
      <c r="D8" s="30"/>
    </row>
    <row r="10" spans="1:10">
      <c r="A10" s="29" t="s">
        <v>1</v>
      </c>
      <c r="C10" s="29" t="s">
        <v>622</v>
      </c>
      <c r="D10" s="29" t="s">
        <v>615</v>
      </c>
      <c r="E10" s="29" t="s">
        <v>556</v>
      </c>
      <c r="F10" s="33">
        <v>46287</v>
      </c>
      <c r="G10" s="34">
        <v>46290</v>
      </c>
      <c r="H10" s="32">
        <v>46289</v>
      </c>
      <c r="I10" s="32">
        <v>46326</v>
      </c>
      <c r="J10" s="29" t="s">
        <v>623</v>
      </c>
    </row>
    <row r="11" spans="1:10">
      <c r="A11" s="29" t="s">
        <v>4</v>
      </c>
      <c r="C11" s="29" t="s">
        <v>622</v>
      </c>
      <c r="D11" s="29" t="s">
        <v>615</v>
      </c>
      <c r="E11" s="29" t="s">
        <v>536</v>
      </c>
      <c r="F11" s="40">
        <v>46287</v>
      </c>
      <c r="G11" s="41">
        <v>46290</v>
      </c>
      <c r="H11" s="40">
        <v>46289</v>
      </c>
      <c r="I11" s="40">
        <v>46326</v>
      </c>
      <c r="J11" s="29" t="s">
        <v>623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42F477-76D4-46FD-9102-EA4188BFC757}">
          <x14:formula1>
            <xm:f>lookup!$D$1:$D$8</xm:f>
          </x14:formula1>
          <xm:sqref>E2 E10:E11 E3:E4 E5:E7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2534-D3B8-47A6-97FA-7A6D825EB851}">
  <dimension ref="A1:N23"/>
  <sheetViews>
    <sheetView topLeftCell="A4" workbookViewId="0">
      <selection activeCell="C21" sqref="C21:G22"/>
    </sheetView>
  </sheetViews>
  <sheetFormatPr defaultRowHeight="14.5"/>
  <cols>
    <col min="3" max="3" width="16.453125" customWidth="1"/>
    <col min="5" max="5" width="18.26953125" customWidth="1"/>
  </cols>
  <sheetData>
    <row r="1" spans="1:14">
      <c r="A1" t="s">
        <v>624</v>
      </c>
      <c r="J1" t="s">
        <v>625</v>
      </c>
    </row>
    <row r="2" spans="1:14">
      <c r="C2" s="7"/>
      <c r="D2" s="7"/>
      <c r="E2" s="7"/>
      <c r="F2" s="7"/>
      <c r="G2" s="7"/>
      <c r="K2" t="s">
        <v>657</v>
      </c>
    </row>
    <row r="3" spans="1:14">
      <c r="C3" s="7"/>
      <c r="D3" s="7" t="s">
        <v>626</v>
      </c>
      <c r="E3" s="17" t="s">
        <v>541</v>
      </c>
      <c r="F3" s="7"/>
      <c r="G3" s="7"/>
      <c r="K3" t="s">
        <v>653</v>
      </c>
    </row>
    <row r="4" spans="1:14">
      <c r="C4" s="7"/>
      <c r="D4" s="7" t="s">
        <v>76</v>
      </c>
      <c r="E4" s="17" t="s">
        <v>554</v>
      </c>
      <c r="F4" s="7"/>
      <c r="G4" s="7"/>
      <c r="K4" t="s">
        <v>654</v>
      </c>
    </row>
    <row r="5" spans="1:14">
      <c r="C5" s="7"/>
      <c r="D5" s="7" t="s">
        <v>527</v>
      </c>
      <c r="E5" s="18"/>
      <c r="F5" s="7"/>
      <c r="G5" s="7"/>
      <c r="K5" t="s">
        <v>655</v>
      </c>
    </row>
    <row r="6" spans="1:14">
      <c r="C6" s="7"/>
      <c r="D6" s="7" t="s">
        <v>528</v>
      </c>
      <c r="E6" s="18"/>
      <c r="F6" s="7"/>
      <c r="G6" s="7"/>
      <c r="K6" t="s">
        <v>656</v>
      </c>
    </row>
    <row r="7" spans="1:14">
      <c r="C7" s="7"/>
      <c r="D7" s="7"/>
      <c r="E7" s="7"/>
      <c r="F7" s="7"/>
      <c r="G7" s="7"/>
      <c r="H7" t="s">
        <v>627</v>
      </c>
      <c r="K7" t="s">
        <v>658</v>
      </c>
    </row>
    <row r="8" spans="1:14">
      <c r="C8" s="7"/>
      <c r="D8" s="7"/>
      <c r="E8" s="19" t="s">
        <v>628</v>
      </c>
      <c r="F8" s="7"/>
      <c r="G8" s="7"/>
      <c r="H8" t="s">
        <v>629</v>
      </c>
      <c r="K8" t="s">
        <v>659</v>
      </c>
    </row>
    <row r="11" spans="1:14">
      <c r="A11" t="s">
        <v>186</v>
      </c>
      <c r="C11" t="s">
        <v>630</v>
      </c>
    </row>
    <row r="12" spans="1:14">
      <c r="C12" s="20" t="s">
        <v>631</v>
      </c>
      <c r="D12" s="20"/>
      <c r="E12" s="20"/>
      <c r="F12" s="15" t="s">
        <v>632</v>
      </c>
      <c r="G12" s="15"/>
      <c r="J12" s="71"/>
      <c r="K12" s="71" t="s">
        <v>646</v>
      </c>
      <c r="L12" s="71" t="s">
        <v>652</v>
      </c>
      <c r="M12" s="71" t="s">
        <v>649</v>
      </c>
      <c r="N12" s="71" t="s">
        <v>650</v>
      </c>
    </row>
    <row r="13" spans="1:14">
      <c r="C13" s="23"/>
      <c r="D13" s="22" t="s">
        <v>261</v>
      </c>
      <c r="E13" s="22"/>
      <c r="F13" s="22"/>
      <c r="G13" s="22" t="s">
        <v>633</v>
      </c>
      <c r="J13" t="s">
        <v>648</v>
      </c>
      <c r="K13">
        <v>16</v>
      </c>
      <c r="L13">
        <v>16</v>
      </c>
      <c r="M13">
        <v>16</v>
      </c>
      <c r="N13">
        <v>16</v>
      </c>
    </row>
    <row r="14" spans="1:14">
      <c r="C14" s="23" t="s">
        <v>634</v>
      </c>
      <c r="D14" s="20"/>
      <c r="E14" s="20"/>
      <c r="F14" s="20"/>
      <c r="G14" s="20"/>
      <c r="J14" t="s">
        <v>647</v>
      </c>
      <c r="K14">
        <v>200000</v>
      </c>
      <c r="L14">
        <v>50000</v>
      </c>
      <c r="M14">
        <v>60000</v>
      </c>
      <c r="N14">
        <v>70000</v>
      </c>
    </row>
    <row r="15" spans="1:14">
      <c r="C15" s="23" t="s">
        <v>635</v>
      </c>
      <c r="D15" s="7" t="s">
        <v>636</v>
      </c>
      <c r="E15" s="7"/>
      <c r="F15" s="7"/>
      <c r="G15" s="7"/>
      <c r="L15">
        <f>K14-L14</f>
        <v>150000</v>
      </c>
      <c r="M15">
        <f>L15-M14</f>
        <v>90000</v>
      </c>
      <c r="N15">
        <f>M15-N14</f>
        <v>20000</v>
      </c>
    </row>
    <row r="16" spans="1:14">
      <c r="C16" s="23" t="s">
        <v>637</v>
      </c>
      <c r="D16" s="7"/>
      <c r="E16" s="7"/>
      <c r="F16" s="7"/>
      <c r="G16" s="7"/>
    </row>
    <row r="17" spans="3:10">
      <c r="C17" s="23" t="s">
        <v>638</v>
      </c>
      <c r="D17" s="20"/>
      <c r="E17" s="20"/>
      <c r="F17" s="20"/>
      <c r="G17" s="20"/>
      <c r="J17" t="s">
        <v>651</v>
      </c>
    </row>
    <row r="18" spans="3:10">
      <c r="C18" s="23" t="s">
        <v>639</v>
      </c>
      <c r="D18" s="20"/>
      <c r="E18" s="20"/>
      <c r="F18" s="20"/>
      <c r="G18" s="20"/>
    </row>
    <row r="19" spans="3:10">
      <c r="C19" s="23" t="s">
        <v>640</v>
      </c>
      <c r="D19" s="20"/>
      <c r="E19" s="20"/>
      <c r="F19" s="20"/>
      <c r="G19" s="20"/>
    </row>
    <row r="20" spans="3:10">
      <c r="C20" s="23" t="s">
        <v>641</v>
      </c>
      <c r="D20" s="14" t="s">
        <v>642</v>
      </c>
      <c r="E20" s="20"/>
      <c r="F20" s="15" t="s">
        <v>643</v>
      </c>
      <c r="G20" s="25" t="s">
        <v>644</v>
      </c>
    </row>
    <row r="21" spans="3:10">
      <c r="C21" s="21" t="s">
        <v>266</v>
      </c>
      <c r="D21" s="21"/>
      <c r="E21" s="21"/>
      <c r="F21" s="21"/>
      <c r="G21" s="21"/>
    </row>
    <row r="22" spans="3:10">
      <c r="C22" s="21"/>
      <c r="D22" s="21"/>
      <c r="E22" s="21"/>
      <c r="F22" s="21"/>
      <c r="G22" s="21"/>
    </row>
    <row r="23" spans="3:10">
      <c r="C23" s="20"/>
      <c r="D23" s="20"/>
      <c r="E23" s="20"/>
      <c r="F23" s="20"/>
      <c r="G23" s="24" t="s">
        <v>645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D7E0FD-55B4-4C94-9DA5-F313F44E914A}">
          <x14:formula1>
            <xm:f>lookup!$G$1:$G$3</xm:f>
          </x14:formula1>
          <xm:sqref>E3</xm:sqref>
        </x14:dataValidation>
        <x14:dataValidation type="list" allowBlank="1" showInputMessage="1" showErrorMessage="1" xr:uid="{DEF74B6F-B51E-4125-B2B4-131729DD2F2C}">
          <x14:formula1>
            <xm:f>lookup!$I$3:$I$21</xm:f>
          </x14:formula1>
          <xm:sqref>E4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CD884E8E8D4468FA71678BA7675B7" ma:contentTypeVersion="10" ma:contentTypeDescription="Create a new document." ma:contentTypeScope="" ma:versionID="01ceda49366daa7fc8bfc1dbcc5798c1">
  <xsd:schema xmlns:xsd="http://www.w3.org/2001/XMLSchema" xmlns:xs="http://www.w3.org/2001/XMLSchema" xmlns:p="http://schemas.microsoft.com/office/2006/metadata/properties" xmlns:ns2="4303b014-a639-4307-99ec-6450579695da" xmlns:ns3="5fb82756-1413-4c56-bef1-51536ede70f1" targetNamespace="http://schemas.microsoft.com/office/2006/metadata/properties" ma:root="true" ma:fieldsID="c51a79ed2fe6b8cbcb07b12934395ae2" ns2:_="" ns3:_="">
    <xsd:import namespace="4303b014-a639-4307-99ec-6450579695da"/>
    <xsd:import namespace="5fb82756-1413-4c56-bef1-51536ede70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3b014-a639-4307-99ec-6450579695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82756-1413-4c56-bef1-51536ede70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d89777-7836-4d15-bede-6fb9d53790e3}" ma:internalName="TaxCatchAll" ma:showField="CatchAllData" ma:web="5fb82756-1413-4c56-bef1-51536ede70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03b014-a639-4307-99ec-6450579695da">
      <Terms xmlns="http://schemas.microsoft.com/office/infopath/2007/PartnerControls"/>
    </lcf76f155ced4ddcb4097134ff3c332f>
    <TaxCatchAll xmlns="5fb82756-1413-4c56-bef1-51536ede70f1" xsi:nil="true"/>
  </documentManagement>
</p:properties>
</file>

<file path=customXml/itemProps1.xml><?xml version="1.0" encoding="utf-8"?>
<ds:datastoreItem xmlns:ds="http://schemas.openxmlformats.org/officeDocument/2006/customXml" ds:itemID="{D83AFF08-6B48-47F2-A96E-B0CA3DB51D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D9D59-7D28-44EA-A2D8-4AE802D29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03b014-a639-4307-99ec-6450579695da"/>
    <ds:schemaRef ds:uri="5fb82756-1413-4c56-bef1-51536ede70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49DA1-BFA3-430D-8FC5-7BD42393E7F9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4303b014-a639-4307-99ec-6450579695da"/>
    <ds:schemaRef ds:uri="http://schemas.openxmlformats.org/package/2006/metadata/core-properties"/>
    <ds:schemaRef ds:uri="5fb82756-1413-4c56-bef1-51536ede70f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Learn a skill - and Train the t</vt:lpstr>
      <vt:lpstr>Tools and Access</vt:lpstr>
      <vt:lpstr>Capability</vt:lpstr>
      <vt:lpstr>Project Plan</vt:lpstr>
      <vt:lpstr>Sheet3</vt:lpstr>
      <vt:lpstr>Email Data flow</vt:lpstr>
      <vt:lpstr>lookup</vt:lpstr>
      <vt:lpstr>Tagging Details</vt:lpstr>
      <vt:lpstr>Wireframe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Ramarao</dc:creator>
  <cp:keywords/>
  <dc:description/>
  <cp:lastModifiedBy>SUNIL Ramarao</cp:lastModifiedBy>
  <cp:revision/>
  <dcterms:created xsi:type="dcterms:W3CDTF">2026-09-18T12:03:36Z</dcterms:created>
  <dcterms:modified xsi:type="dcterms:W3CDTF">2026-09-30T12:53:56Z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0x0101002A8CD884E8E8D4468FA71678BA7675B7</vt:lpwstr>
  </property>
  <property fmtid="{D5CDD505-2E9C-101B-9397-08002B2CF9AE}" pid="3" name="MediaServiceImageTags">
    <vt:lpwstr/>
  </property>
  <property fmtid="{D5CDD505-2E9C-101B-9397-08002B2CF9AE}" pid="4" name="MSIP_Label_a8c544ca-bb84-4280-906e-934547e1d30c_Enabled">
    <vt:lpwstr>true</vt:lpwstr>
  </property>
  <property fmtid="{D5CDD505-2E9C-101B-9397-08002B2CF9AE}" pid="5" name="MSIP_Label_a8c544ca-bb84-4280-906e-934547e1d30c_SetDate">
    <vt:lpwstr>2026-09-30T11:16:48Z</vt:lpwstr>
  </property>
  <property fmtid="{D5CDD505-2E9C-101B-9397-08002B2CF9AE}" pid="6" name="MSIP_Label_a8c544ca-bb84-4280-906e-934547e1d30c_Method">
    <vt:lpwstr>Privileged</vt:lpwstr>
  </property>
  <property fmtid="{D5CDD505-2E9C-101B-9397-08002B2CF9AE}" pid="7" name="MSIP_Label_a8c544ca-bb84-4280-906e-934547e1d30c_Name">
    <vt:lpwstr>Internal - General Use</vt:lpwstr>
  </property>
  <property fmtid="{D5CDD505-2E9C-101B-9397-08002B2CF9AE}" pid="8" name="MSIP_Label_a8c544ca-bb84-4280-906e-934547e1d30c_SiteId">
    <vt:lpwstr>258ac4e4-146a-411e-9dc8-79a9e12fd6da</vt:lpwstr>
  </property>
  <property fmtid="{D5CDD505-2E9C-101B-9397-08002B2CF9AE}" pid="9" name="MSIP_Label_a8c544ca-bb84-4280-906e-934547e1d30c_ActionId">
    <vt:lpwstr>5884d4c0-d8b8-4023-bb76-b18230d8969b</vt:lpwstr>
  </property>
  <property fmtid="{D5CDD505-2E9C-101B-9397-08002B2CF9AE}" pid="10" name="MSIP_Label_a8c544ca-bb84-4280-906e-934547e1d30c_ContentBits">
    <vt:lpwstr>2</vt:lpwstr>
  </property>
  <property fmtid="{D5CDD505-2E9C-101B-9397-08002B2CF9AE}" pid="11" name="MSIP_Label_a8c544ca-bb84-4280-906e-934547e1d30c_Tag">
    <vt:lpwstr>10, 0, 1, 2</vt:lpwstr>
  </property>
</Properties>
</file>