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https://wipro365.sharepoint.com/sites/AI_Solutions/Shared Documents/JnJ/Planning_Implementation/TeamDocuments/"/>
    </mc:Choice>
  </mc:AlternateContent>
  <xr:revisionPtr revIDLastSave="575" documentId="8_{46330D98-94E1-4683-899B-D93F563DD10B}" xr6:coauthVersionLast="47" xr6:coauthVersionMax="47" xr10:uidLastSave="{546B36A9-EE0B-47AE-B809-51CC22DCB739}"/>
  <bookViews>
    <workbookView xWindow="-110" yWindow="-110" windowWidth="19420" windowHeight="11500" firstSheet="42" activeTab="42" xr2:uid="{7455734D-0D1C-4EEA-86E4-582E24910026}"/>
  </bookViews>
  <sheets>
    <sheet name="Overview" sheetId="28" r:id="rId1"/>
    <sheet name="Executive Deck" sheetId="12" r:id="rId2"/>
    <sheet name="Process Improvements" sheetId="46" r:id="rId3"/>
    <sheet name="Executive Overview" sheetId="13" r:id="rId4"/>
    <sheet name="Unified Customer View" sheetId="20" r:id="rId5"/>
    <sheet name="KPI Progression" sheetId="21" r:id="rId6"/>
    <sheet name="Opportunity Alignment" sheetId="25" r:id="rId7"/>
    <sheet name="Customer KPI Dashboard" sheetId="22" r:id="rId8"/>
    <sheet name="Executive KPI Dashboard" sheetId="23" r:id="rId9"/>
    <sheet name="Role KPI Dashboard" sheetId="24" r:id="rId10"/>
    <sheet name="Role 01 - CC Customer" sheetId="33" r:id="rId11"/>
    <sheet name="Role 02 - CC Inventory" sheetId="34" r:id="rId12"/>
    <sheet name="Role 03 - CC Warranty" sheetId="35" r:id="rId13"/>
    <sheet name="Role 04 - BO Customer" sheetId="36" r:id="rId14"/>
    <sheet name="Role 05 - BO Inventory" sheetId="37" r:id="rId15"/>
    <sheet name="Role 06 - BO Warranty" sheetId="38" r:id="rId16"/>
    <sheet name="Role 07 - CC Manager" sheetId="39" r:id="rId17"/>
    <sheet name="Role 08 - BO Manager" sheetId="42" r:id="rId18"/>
    <sheet name="Role 09 - Operations Mgr" sheetId="43" r:id="rId19"/>
    <sheet name="Role 10 - Quality Analyst" sheetId="44" r:id="rId20"/>
    <sheet name="Role 11 - Admin Executive" sheetId="45" r:id="rId21"/>
    <sheet name="Role 12 - Surgeon" sheetId="48" r:id="rId22"/>
    <sheet name="Role 13 - Office Manager" sheetId="49" r:id="rId23"/>
    <sheet name="Role 14 - Sales Rep" sheetId="50" r:id="rId24"/>
    <sheet name="Role 15 - CSR" sheetId="51" r:id="rId25"/>
    <sheet name="Role 16 - Patient" sheetId="52" r:id="rId26"/>
    <sheet name="Exec Phase 1" sheetId="14" r:id="rId27"/>
    <sheet name="Exec Phase 2" sheetId="15" r:id="rId28"/>
    <sheet name="Exec Phase 3" sheetId="16" r:id="rId29"/>
    <sheet name="Exec Phase 4" sheetId="17" r:id="rId30"/>
    <sheet name="Exec Phase 5" sheetId="18" r:id="rId31"/>
    <sheet name="Exec Phase 6" sheetId="19" r:id="rId32"/>
    <sheet name="PHASE 1 OPERATIONAL FOUNDATION" sheetId="1" r:id="rId33"/>
    <sheet name="Gap Assessment" sheetId="40" r:id="rId34"/>
    <sheet name="Milestone Plan" sheetId="41" r:id="rId35"/>
    <sheet name="PHASE 2 PROCESS AUTOMATION" sheetId="2" r:id="rId36"/>
    <sheet name="PHASE 3 AI ENABLED OPERATIONS" sheetId="3" r:id="rId37"/>
    <sheet name="PHASE 4 PREDICTIVE OPERATIONS" sheetId="4" r:id="rId38"/>
    <sheet name="PHASE 5 AGENTIC OPERATIONS" sheetId="5" r:id="rId39"/>
    <sheet name="PHASE 6 AUTONOMOUS ENTERPRISE" sheetId="6" r:id="rId40"/>
    <sheet name="Opportunity" sheetId="7" r:id="rId41"/>
    <sheet name="Questions " sheetId="11" r:id="rId42"/>
    <sheet name="KPI" sheetId="32" r:id="rId43"/>
    <sheet name="ARB Readiness" sheetId="27" r:id="rId44"/>
    <sheet name="Stack" sheetId="29" r:id="rId45"/>
    <sheet name="Valuestream" sheetId="30" r:id="rId46"/>
    <sheet name="Mermaid flows" sheetId="31" r:id="rId47"/>
    <sheet name="RACI" sheetId="9" r:id="rId48"/>
    <sheet name="OKR_Business Requirements" sheetId="10" r:id="rId49"/>
    <sheet name="Change Request" sheetId="26" r:id="rId50"/>
    <sheet name="Role_Responsibilities" sheetId="8" r:id="rId51"/>
    <sheet name="Consulting Flows" sheetId="47" r:id="rId52"/>
  </sheets>
  <definedNames>
    <definedName name="_xlnm._FilterDatabase" localSheetId="42" hidden="1">KPI!$A$3:$J$24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I26" i="41" l="1"/>
  <c r="F26" i="41"/>
  <c r="I25" i="41"/>
  <c r="F25" i="41"/>
  <c r="I24" i="41"/>
  <c r="F24" i="41"/>
  <c r="I23" i="41"/>
  <c r="F23" i="41"/>
  <c r="I22" i="41"/>
  <c r="F22" i="41"/>
  <c r="I21" i="41"/>
  <c r="F21" i="41"/>
  <c r="I20" i="41"/>
  <c r="F20" i="41"/>
  <c r="I19" i="41"/>
  <c r="F19" i="41"/>
  <c r="I18" i="41"/>
  <c r="F18" i="41"/>
  <c r="I17" i="41"/>
  <c r="F17" i="41"/>
  <c r="I16" i="41"/>
  <c r="F16" i="41"/>
  <c r="I15" i="41"/>
  <c r="F15" i="41"/>
  <c r="B11" i="41"/>
  <c r="B10" i="41"/>
  <c r="B9" i="41"/>
  <c r="B13" i="40"/>
  <c r="B12" i="40"/>
  <c r="B11" i="40"/>
  <c r="B10" i="40"/>
  <c r="F5" i="27" l="1"/>
  <c r="D5" i="27"/>
  <c r="B5" i="27"/>
  <c r="B67" i="26"/>
  <c r="B66" i="26"/>
  <c r="B65" i="26"/>
  <c r="B64" i="26"/>
  <c r="B63" i="26"/>
  <c r="B62" i="26"/>
  <c r="B61" i="26"/>
  <c r="C29" i="26"/>
  <c r="C28" i="26"/>
  <c r="C27" i="26"/>
  <c r="C26" i="26"/>
  <c r="C25" i="26"/>
  <c r="C24" i="26"/>
  <c r="B6" i="26"/>
  <c r="A2" i="11" l="1"/>
  <c r="A3" i="11"/>
  <c r="A4" i="11"/>
  <c r="A5" i="11"/>
  <c r="A6" i="11"/>
  <c r="A7" i="11"/>
  <c r="A8" i="11"/>
  <c r="A9" i="11"/>
  <c r="A10" i="11"/>
</calcChain>
</file>

<file path=xl/sharedStrings.xml><?xml version="1.0" encoding="utf-8"?>
<sst xmlns="http://schemas.openxmlformats.org/spreadsheetml/2006/main" count="11981" uniqueCount="6659">
  <si>
    <t>MENTOR WORKBOOK — COMPLETE WORKSHEET OVERVIEW</t>
  </si>
  <si>
    <t>All 52 worksheets listed in tab order, including 16 role/persona executive dashboards, with purpose and mapped reference</t>
  </si>
  <si>
    <t>Navigation map updated for the current workbook structure. Role 01–16 slides are grouped after the consolidated Role KPI Dashboard, and Consulting Flows is included as the persona and journey source.</t>
  </si>
  <si>
    <t>#</t>
  </si>
  <si>
    <t>Worksheet name</t>
  </si>
  <si>
    <t>Category</t>
  </si>
  <si>
    <t>Purpose</t>
  </si>
  <si>
    <t>Mapped sheet reference</t>
  </si>
  <si>
    <t>Overview</t>
  </si>
  <si>
    <t>Workbook Navigation</t>
  </si>
  <si>
    <t>Complete index of all workbook worksheets, their purpose, and mapped cell reference.</t>
  </si>
  <si>
    <t>Overview!A1</t>
  </si>
  <si>
    <t>Executive Deck</t>
  </si>
  <si>
    <t>Contents page for the six-phase operations-transformation executive presentation.</t>
  </si>
  <si>
    <t>Executive Deck!A1</t>
  </si>
  <si>
    <t>Process Improvements</t>
  </si>
  <si>
    <t>Source Analysis</t>
  </si>
  <si>
    <t>Current-state process scope, channels, operational activities, and improvement inputs.</t>
  </si>
  <si>
    <t>Process Improvements!A1</t>
  </si>
  <si>
    <t>Executive Overview</t>
  </si>
  <si>
    <t>Six-phase transformation storyline, priority capabilities, KPI evidence, and executive gates.</t>
  </si>
  <si>
    <t>Executive Overview!A1</t>
  </si>
  <si>
    <t>Unified Customer View</t>
  </si>
  <si>
    <t>Incremental maturity of unified customer interaction history across all channels.</t>
  </si>
  <si>
    <t>Unified Customer View!A1</t>
  </si>
  <si>
    <t>KPI Progression</t>
  </si>
  <si>
    <t>Customer and operational KPI progression from visibility through autonomous prevention.</t>
  </si>
  <si>
    <t>KPI Progression!A1</t>
  </si>
  <si>
    <t>Opportunity Alignment</t>
  </si>
  <si>
    <t>Opportunity catalogue mapped to phases, expected value, actions, priorities, and gates.</t>
  </si>
  <si>
    <t>Opportunity Alignment!A1</t>
  </si>
  <si>
    <t>Customer KPI Dashboard</t>
  </si>
  <si>
    <t>Executive Dashboard</t>
  </si>
  <si>
    <t>Unified-customer-view metrics and enabling actions across Phases 1–6.</t>
  </si>
  <si>
    <t>Customer KPI Dashboard!A1</t>
  </si>
  <si>
    <t>Executive KPI Dashboard</t>
  </si>
  <si>
    <t>Headline operational, customer, automation, predictive, and autonomy metrics by phase.</t>
  </si>
  <si>
    <t>Executive KPI Dashboard!A1</t>
  </si>
  <si>
    <t>Role KPI Dashboard</t>
  </si>
  <si>
    <t>Consolidated role scorecards and responsibility evolution across all six phases.</t>
  </si>
  <si>
    <t>Role KPI Dashboard!A1</t>
  </si>
  <si>
    <t>Role 01 - CC Customer</t>
  </si>
  <si>
    <t>Role Executive Slide</t>
  </si>
  <si>
    <t>Contact-center customer-service responsibilities, KPI formulas, and six-phase role evolution.</t>
  </si>
  <si>
    <t>Role 01 - CC Customer!A1</t>
  </si>
  <si>
    <t>Role 02 - CC Inventory</t>
  </si>
  <si>
    <t>Contact-center inventory and consignment responsibilities, KPIs, and phase evolution.</t>
  </si>
  <si>
    <t>Role 02 - CC Inventory!A1</t>
  </si>
  <si>
    <t>Role 03 - CC Warranty</t>
  </si>
  <si>
    <t>Contact-center warranty, complaints, device-tracking responsibilities, and KPIs.</t>
  </si>
  <si>
    <t>Role 03 - CC Warranty!A1</t>
  </si>
  <si>
    <t>Role 04 - BO Customer</t>
  </si>
  <si>
    <t>Back-office customer-service, order, email, returns responsibilities, and KPIs.</t>
  </si>
  <si>
    <t>Role 04 - BO Customer!A1</t>
  </si>
  <si>
    <t>Role 05 - BO Inventory</t>
  </si>
  <si>
    <t>Back-office inventory, consignment, PO, audit, billing responsibilities, and KPIs.</t>
  </si>
  <si>
    <t>Role 05 - BO Inventory!A1</t>
  </si>
  <si>
    <t>Role 06 - BO Warranty</t>
  </si>
  <si>
    <t>Back-office warranty, complaint, device, documentation, and rework dashboard.</t>
  </si>
  <si>
    <t>Role 06 - BO Warranty!A1</t>
  </si>
  <si>
    <t>Role 07 - CC Manager</t>
  </si>
  <si>
    <t>Contact-center manager SLA, FCR, CSAT, coaching, escalation, and phase evolution.</t>
  </si>
  <si>
    <t>Role 07 - CC Manager!A1</t>
  </si>
  <si>
    <t>Role 08 - BO Manager</t>
  </si>
  <si>
    <t>Back-office manager productivity, accuracy, backlog, SLA, workforce, and phase evolution.</t>
  </si>
  <si>
    <t>Role 08 - BO Manager!A1</t>
  </si>
  <si>
    <t>Role 09 - Operations Mgr</t>
  </si>
  <si>
    <t>Operations leadership dashboard covering SLA, KPIs, customer, financial value, and governance.</t>
  </si>
  <si>
    <t>Role 09 - Operations Mgr!A1</t>
  </si>
  <si>
    <t>Role 10 - Quality Analyst</t>
  </si>
  <si>
    <t>Quality, audit, calibration, defect, CAPA, and continuous-assurance dashboard.</t>
  </si>
  <si>
    <t>Role 10 - Quality Analyst!A1</t>
  </si>
  <si>
    <t>Role 11 - Admin Executive</t>
  </si>
  <si>
    <t>Reporting, data availability, action tracking, and governance-support dashboard.</t>
  </si>
  <si>
    <t>Role 11 - Admin Executive!A1</t>
  </si>
  <si>
    <t>Role 12 - Surgeon</t>
  </si>
  <si>
    <t>Surgeon product discovery, clinical evidence, selection, case readiness, support, warranty, and safety dashboard.</t>
  </si>
  <si>
    <t>Role 12 - Surgeon!A1</t>
  </si>
  <si>
    <t>Role 13 - Office Manager</t>
  </si>
  <si>
    <t>Office-manager account, order, inventory, delivery, financial, return, warranty, and device dashboard.</t>
  </si>
  <si>
    <t>Role 13 - Office Manager!A1</t>
  </si>
  <si>
    <t>Role 14 - Sales Rep</t>
  </si>
  <si>
    <t>Sales-representative relationship, adoption, commercial support, pipeline, forecast, and retention dashboard.</t>
  </si>
  <si>
    <t>Role 14 - Sales Rep!A1</t>
  </si>
  <si>
    <t>Role 15 - CSR</t>
  </si>
  <si>
    <t>CSR onboarding, order, status, inquiry, return, complaint, warranty, billing, and escalation dashboard.</t>
  </si>
  <si>
    <t>Role 15 - CSR!A1</t>
  </si>
  <si>
    <t>Role 16 - Patient</t>
  </si>
  <si>
    <t>Patient education, care navigation, warranty registration, concern capture, and status-transparency dashboard.</t>
  </si>
  <si>
    <t>Role 16 - Patient!A1</t>
  </si>
  <si>
    <t>Exec Phase 1</t>
  </si>
  <si>
    <t>Executive Phase Summary</t>
  </si>
  <si>
    <t>Phase 1 foundation summary with milestones, risks, KPIs, and opportunity inclusions.</t>
  </si>
  <si>
    <t>Exec Phase 1!A1</t>
  </si>
  <si>
    <t>Exec Phase 2</t>
  </si>
  <si>
    <t>Phase 2 process-automation summary with milestones, risks, KPIs, and opportunities.</t>
  </si>
  <si>
    <t>Exec Phase 2!A1</t>
  </si>
  <si>
    <t>Exec Phase 3</t>
  </si>
  <si>
    <t>Phase 3 AI-enabled summary covering Customer 360, copilots, AI quality, and governance.</t>
  </si>
  <si>
    <t>Exec Phase 3!A1</t>
  </si>
  <si>
    <t>Exec Phase 4</t>
  </si>
  <si>
    <t>Phase 4 predictive summary covering workforce, customer, SLA, inventory, and risk intelligence.</t>
  </si>
  <si>
    <t>Exec Phase 4!A1</t>
  </si>
  <si>
    <t>Exec Phase 5</t>
  </si>
  <si>
    <t>Phase 5 agentic summary covering digital workers, orchestration, identity, and controls.</t>
  </si>
  <si>
    <t>Exec Phase 5!A1</t>
  </si>
  <si>
    <t>Exec Phase 6</t>
  </si>
  <si>
    <t>Phase 6 autonomous-enterprise summary covering command, knowledge, and self-healing.</t>
  </si>
  <si>
    <t>Exec Phase 6!A1</t>
  </si>
  <si>
    <t>PHASE 1 OPERATIONAL FOUNDATION</t>
  </si>
  <si>
    <t>Detailed Roadmap</t>
  </si>
  <si>
    <t>Detailed Phase 1 capabilities, KPIs, risks, governance, exit criteria, and opportunities.</t>
  </si>
  <si>
    <t>PHASE 1 OPERATIONAL FOUNDATION!A1</t>
  </si>
  <si>
    <t>Gap Assessment</t>
  </si>
  <si>
    <t>Architecture Governance</t>
  </si>
  <si>
    <t>Consolidated 18-domain readiness matrix and 28 requirement-level closure gaps.</t>
  </si>
  <si>
    <t>Gap Assessment!A1</t>
  </si>
  <si>
    <t>Milestone Plan</t>
  </si>
  <si>
    <t>Program Governance</t>
  </si>
  <si>
    <t>Twelve prioritized remediation milestones with owners, target dates, dependencies, and live health.</t>
  </si>
  <si>
    <t>Milestone Plan!A1</t>
  </si>
  <si>
    <t>PHASE 2 PROCESS AUTOMATION</t>
  </si>
  <si>
    <t>Detailed Phase 2 automation capabilities, KPIs, risks, governance, and opportunities.</t>
  </si>
  <si>
    <t>PHASE 2 PROCESS AUTOMATION!A1</t>
  </si>
  <si>
    <t>PHASE 3 AI ENABLED OPERATIONS</t>
  </si>
  <si>
    <t>Detailed Phase 3 AI capabilities, KPIs, responsible-AI controls, and opportunities.</t>
  </si>
  <si>
    <t>PHASE 3 AI ENABLED OPERATIONS!A1</t>
  </si>
  <si>
    <t>PHASE 4 PREDICTIVE OPERATIONS</t>
  </si>
  <si>
    <t>Detailed Phase 4 predictive models, KPIs, risks, controls, and opportunities.</t>
  </si>
  <si>
    <t>PHASE 4 PREDICTIVE OPERATIONS!A1</t>
  </si>
  <si>
    <t>PHASE 5 AGENTIC OPERATIONS</t>
  </si>
  <si>
    <t>Detailed Phase 5 digital-workforce capabilities, agent governance, and opportunities.</t>
  </si>
  <si>
    <t>PHASE 5 AGENTIC OPERATIONS!A1</t>
  </si>
  <si>
    <t>PHASE 6 AUTONOMOUS ENTERPRISE</t>
  </si>
  <si>
    <t>Detailed Phase 6 command center, knowledge brain, self-healing, and governance roadmap.</t>
  </si>
  <si>
    <t>PHASE 6 AUTONOMOUS ENTERPRISE!A1</t>
  </si>
  <si>
    <t>Opportunity</t>
  </si>
  <si>
    <t>Full workflow, automation, AI/ML, LLM, agentic, priority, and target-state opportunity catalogue.</t>
  </si>
  <si>
    <t>Opportunity!A1</t>
  </si>
  <si>
    <t xml:space="preserve">Questions </t>
  </si>
  <si>
    <t>Workbook Content</t>
  </si>
  <si>
    <t>Worksheet supporting the Mentor transformation workbook: Questions .</t>
  </si>
  <si>
    <t>Questions !A1</t>
  </si>
  <si>
    <t>KPI</t>
  </si>
  <si>
    <t>KPI Register</t>
  </si>
  <si>
    <t>Consolidated Phase 1–6 KPI register with targets, leading and lagging metrics, and formulas.</t>
  </si>
  <si>
    <t>KPI!A1</t>
  </si>
  <si>
    <t>ARB Readiness</t>
  </si>
  <si>
    <t>Architecture Review Board readiness assessment, evidence status, gaps, and decision gates.</t>
  </si>
  <si>
    <t>ARB Readiness!A1</t>
  </si>
  <si>
    <t>Stack</t>
  </si>
  <si>
    <t>Architecture</t>
  </si>
  <si>
    <t>Business and solution architecture layers and enabling technology stack.</t>
  </si>
  <si>
    <t>Stack!A1</t>
  </si>
  <si>
    <t>Valuestream</t>
  </si>
  <si>
    <t>Business, agentic-AI, and enterprise-architecture value-stream mapping.</t>
  </si>
  <si>
    <t>Valuestream!A1</t>
  </si>
  <si>
    <t>Mermaid flows</t>
  </si>
  <si>
    <t>Copy-ready Mermaid definitions for business, agentic-AI, and architecture flows.</t>
  </si>
  <si>
    <t>Mermaid flows!A1</t>
  </si>
  <si>
    <t>RACI</t>
  </si>
  <si>
    <t>Operating Model</t>
  </si>
  <si>
    <t>Process-level responsibility, accountability, consultation, and information matrix.</t>
  </si>
  <si>
    <t>RACI!A1</t>
  </si>
  <si>
    <t>OKR_Business Requirements</t>
  </si>
  <si>
    <t>Business Requirements</t>
  </si>
  <si>
    <t>SLA and KPI business-requirement analysis and requirement mapping.</t>
  </si>
  <si>
    <t>OKR_Business Requirements!A1</t>
  </si>
  <si>
    <t>Change Request</t>
  </si>
  <si>
    <t>Change Governance</t>
  </si>
  <si>
    <t>Governed POC and change-request roadmap, releases, artifacts, dependencies, and approvals.</t>
  </si>
  <si>
    <t>Change Request!A1</t>
  </si>
  <si>
    <t>Role_Responsibilities</t>
  </si>
  <si>
    <t>Source role responsibilities, individual metrics, formulas, drivers, and linked KPIs.</t>
  </si>
  <si>
    <t>Role_Responsibilities!A1</t>
  </si>
  <si>
    <t>Consulting Flows</t>
  </si>
  <si>
    <t>Persona &amp; Journey Source</t>
  </si>
  <si>
    <t>Mentor personas, high-level needs, prioritized B2B journeys, MVP scope, and source for roles 12–16.</t>
  </si>
  <si>
    <t>Consulting Flows!A1</t>
  </si>
  <si>
    <t>MENTOR OPERATIONS TRANSFORMATION ROADMAP</t>
  </si>
  <si>
    <t>Executive decision deck | Six-phase journey from operational foundation to autonomous enterprise | 0–42 months</t>
  </si>
  <si>
    <t>DECK CONTENTS</t>
  </si>
  <si>
    <t>Worksheet</t>
  </si>
  <si>
    <t>Executive purpose</t>
  </si>
  <si>
    <t>Enterprise storyline, opportunity-enhanced roadmap, headline KPIs, and decision gates</t>
  </si>
  <si>
    <t>Incremental build of unified customer interaction history across all channels</t>
  </si>
  <si>
    <t>How phase-specific KPIs progress from visibility to autonomous prevention</t>
  </si>
  <si>
    <t>Opportunity catalogue mapped to phases, KPI value, actions, gates, and priorities</t>
  </si>
  <si>
    <t>Unified-view metrics by phase with enabling actions for each delta</t>
  </si>
  <si>
    <t>Executive headline metrics by phase with management actions</t>
  </si>
  <si>
    <t>Consolidated scorecards and evolution for 11 operating roles plus 5 Consulting Flows personas</t>
  </si>
  <si>
    <t>Foundation plus unified case/customer-view design, routing, reporting, and standards</t>
  </si>
  <si>
    <t>Transaction automation including government orders, returns, PO follow-up, and devices</t>
  </si>
  <si>
    <t>Customer 360, copilots, AI quality, unified history, and governance automation</t>
  </si>
  <si>
    <t>Predictive customer, SLA, workforce, inventory, revenue, and RCA intelligence</t>
  </si>
  <si>
    <t>Expanded governed digital workforce and agent-management controls</t>
  </si>
  <si>
    <t>Autonomous command, knowledge, self-healing, reporting, and orchestration</t>
  </si>
  <si>
    <t>Updated from the Opportunity catalogue, six phase roadmaps, Role_Responsibilities, and Consulting Flows. The role suite now includes 16 dashboards spanning operating teams, surgeon, office manager, sales representative, CSR, and patient journeys.</t>
  </si>
  <si>
    <r>
      <t xml:space="preserve">        </t>
    </r>
    <r>
      <rPr>
        <b/>
        <u/>
        <sz val="10"/>
        <color rgb="FF000000"/>
        <rFont val="Tenorite"/>
      </rPr>
      <t>IN Scope :</t>
    </r>
  </si>
  <si>
    <r>
      <t xml:space="preserve">Out of Scope </t>
    </r>
    <r>
      <rPr>
        <sz val="10"/>
        <color rgb="FF000000"/>
        <rFont val="Tenorite"/>
      </rPr>
      <t xml:space="preserve">: </t>
    </r>
    <r>
      <rPr>
        <b/>
        <sz val="10"/>
        <color rgb="FF000000"/>
        <rFont val="Tenorite"/>
      </rPr>
      <t>Account Receivable (Finance), Contract Management, Credit Hold Status &amp; Final Demand Letter, Scrap process</t>
    </r>
  </si>
  <si>
    <t>Customer Support</t>
  </si>
  <si>
    <t>Phone/ Email/EDI/Mentor Direct/JDE/FAX/Sales Rep</t>
  </si>
  <si>
    <r>
      <t>•</t>
    </r>
    <r>
      <rPr>
        <b/>
        <sz val="10"/>
        <color rgb="FF000000"/>
        <rFont val="Tenorite"/>
      </rPr>
      <t>Account Management/Master Data Maintenance</t>
    </r>
    <r>
      <rPr>
        <sz val="10"/>
        <color rgb="FF000000"/>
        <rFont val="Tenorite"/>
      </rPr>
      <t>: New Account Setup, Private Practice &amp; Hospital, customer Bill to and  Ship to details add/update, Account deactivationdeactivation</t>
    </r>
  </si>
  <si>
    <r>
      <t>•</t>
    </r>
    <r>
      <rPr>
        <b/>
        <sz val="10"/>
        <color rgb="FF000000"/>
        <rFont val="Tenorite"/>
      </rPr>
      <t>Customer Inquiries</t>
    </r>
    <r>
      <rPr>
        <sz val="10"/>
        <color rgb="FF000000"/>
        <rFont val="Tenorite"/>
      </rPr>
      <t>: Respond, resolve, or escalate customer and sales representative needs</t>
    </r>
  </si>
  <si>
    <r>
      <t>•</t>
    </r>
    <r>
      <rPr>
        <b/>
        <sz val="10"/>
        <color rgb="FF000000"/>
        <rFont val="Tenorite"/>
      </rPr>
      <t xml:space="preserve">Order Placement &amp; Management </t>
    </r>
  </si>
  <si>
    <r>
      <t>o</t>
    </r>
    <r>
      <rPr>
        <sz val="10"/>
        <color rgb="FF000000"/>
        <rFont val="Tenorite"/>
      </rPr>
      <t>Order Placement including government order</t>
    </r>
  </si>
  <si>
    <r>
      <t>o</t>
    </r>
    <r>
      <rPr>
        <sz val="10"/>
        <color rgb="FF000000"/>
        <rFont val="Tenorite"/>
      </rPr>
      <t>Order Management: entry/edit</t>
    </r>
  </si>
  <si>
    <r>
      <t>o</t>
    </r>
    <r>
      <rPr>
        <sz val="10"/>
        <color rgb="FF000000"/>
        <rFont val="Tenorite"/>
      </rPr>
      <t>Returns Order management</t>
    </r>
  </si>
  <si>
    <r>
      <t>•</t>
    </r>
    <r>
      <rPr>
        <b/>
        <sz val="10"/>
        <color rgb="FF000000"/>
        <rFont val="Tenorite"/>
      </rPr>
      <t>Device Access Training</t>
    </r>
  </si>
  <si>
    <r>
      <t>•</t>
    </r>
    <r>
      <rPr>
        <b/>
        <sz val="10"/>
        <color rgb="FF000000"/>
        <rFont val="Tenorite"/>
      </rPr>
      <t>Invoice to Cash AR and Return</t>
    </r>
  </si>
  <si>
    <r>
      <t>o</t>
    </r>
    <r>
      <rPr>
        <sz val="10"/>
        <color rgb="FF000000"/>
        <rFont val="Tenorite"/>
      </rPr>
      <t>Invoicing</t>
    </r>
  </si>
  <si>
    <r>
      <t>o</t>
    </r>
    <r>
      <rPr>
        <sz val="10"/>
        <color rgb="FF000000"/>
        <rFont val="Tenorite"/>
      </rPr>
      <t>Accounts Receivable</t>
    </r>
  </si>
  <si>
    <r>
      <t>o</t>
    </r>
    <r>
      <rPr>
        <sz val="10"/>
        <color rgb="FF000000"/>
        <rFont val="Tenorite"/>
      </rPr>
      <t>AR Status</t>
    </r>
  </si>
  <si>
    <r>
      <t>o</t>
    </r>
    <r>
      <rPr>
        <sz val="10"/>
        <color rgb="FF000000"/>
        <rFont val="Tenorite"/>
      </rPr>
      <t>Pre-Paid (PPD) Customers</t>
    </r>
  </si>
  <si>
    <r>
      <t>o</t>
    </r>
    <r>
      <rPr>
        <sz val="10"/>
        <color rgb="FF000000"/>
        <rFont val="Tenorite"/>
      </rPr>
      <t>Submit a request for invoice adjustment​</t>
    </r>
  </si>
  <si>
    <t>Field Inventory Management</t>
  </si>
  <si>
    <t>Phone/ Email/EDI/JDE/FAX/Sales Rep</t>
  </si>
  <si>
    <r>
      <t>•</t>
    </r>
    <r>
      <rPr>
        <b/>
        <sz val="10"/>
        <color rgb="FF000000"/>
        <rFont val="Tenorite"/>
      </rPr>
      <t>Pickup &amp; Delivery (P&amp;D)​:</t>
    </r>
  </si>
  <si>
    <r>
      <t>o</t>
    </r>
    <r>
      <rPr>
        <sz val="10"/>
        <color rgb="FF000000"/>
        <rFont val="Tenorite"/>
      </rPr>
      <t>Explaining the process to customers​</t>
    </r>
  </si>
  <si>
    <r>
      <t>o</t>
    </r>
    <r>
      <rPr>
        <sz val="10"/>
        <color rgb="FF000000"/>
        <rFont val="Tenorite"/>
      </rPr>
      <t>Review and confirm form accuracy​</t>
    </r>
  </si>
  <si>
    <r>
      <t>o</t>
    </r>
    <r>
      <rPr>
        <sz val="10"/>
        <color rgb="FF000000"/>
        <rFont val="Tenorite"/>
      </rPr>
      <t xml:space="preserve">Credit and charge customers for product and freight as appropriate​ </t>
    </r>
  </si>
  <si>
    <r>
      <t>o</t>
    </r>
    <r>
      <rPr>
        <sz val="10"/>
        <color rgb="FF000000"/>
        <rFont val="Tenorite"/>
      </rPr>
      <t>Freight terms</t>
    </r>
  </si>
  <si>
    <r>
      <t>•</t>
    </r>
    <r>
      <rPr>
        <b/>
        <sz val="10"/>
        <color rgb="FF000000"/>
        <rFont val="Tenorite"/>
      </rPr>
      <t>Consignment Placement &amp;Agreements:</t>
    </r>
  </si>
  <si>
    <r>
      <t>o</t>
    </r>
    <r>
      <rPr>
        <sz val="10"/>
        <color rgb="FF000000"/>
        <rFont val="Tenorite"/>
      </rPr>
      <t>Awareness (to help sales rep):Completing a consignment contract/agreement​</t>
    </r>
  </si>
  <si>
    <r>
      <t>o</t>
    </r>
    <r>
      <rPr>
        <sz val="10"/>
        <color rgb="FF000000"/>
        <rFont val="Tenorite"/>
      </rPr>
      <t>Awareness (to help sales rep):Entering consignment contract/agreement into Salesforce​</t>
    </r>
  </si>
  <si>
    <r>
      <t>o</t>
    </r>
    <r>
      <rPr>
        <sz val="10"/>
        <color rgb="FF000000"/>
        <rFont val="Tenorite"/>
      </rPr>
      <t>Locate a customer’s completed contract/agreement and be able to confirm the customer’s details to fulfil their request/answer question(s)</t>
    </r>
  </si>
  <si>
    <r>
      <t>•</t>
    </r>
    <r>
      <rPr>
        <b/>
        <sz val="10"/>
        <color rgb="FF000000"/>
        <rFont val="Tenorite"/>
      </rPr>
      <t>Emergency Consignment Inventory (ECI)</t>
    </r>
  </si>
  <si>
    <r>
      <t>o</t>
    </r>
    <r>
      <rPr>
        <sz val="10"/>
        <color rgb="FF000000"/>
        <rFont val="Tenorite"/>
      </rPr>
      <t>Establish and start ECI (send ECI units)​</t>
    </r>
  </si>
  <si>
    <r>
      <t>o</t>
    </r>
    <r>
      <rPr>
        <sz val="10"/>
        <color rgb="FF000000"/>
        <rFont val="Tenorite"/>
      </rPr>
      <t>Audit Execution​</t>
    </r>
  </si>
  <si>
    <r>
      <t>o</t>
    </r>
    <r>
      <rPr>
        <sz val="10"/>
        <color rgb="FF000000"/>
        <rFont val="Tenorite"/>
      </rPr>
      <t>Write offs</t>
    </r>
  </si>
  <si>
    <r>
      <t>•</t>
    </r>
    <r>
      <rPr>
        <b/>
        <sz val="10"/>
        <color rgb="FF000000"/>
        <rFont val="Tenorite"/>
      </rPr>
      <t>Consignment Inventory Support</t>
    </r>
  </si>
  <si>
    <r>
      <t>o</t>
    </r>
    <r>
      <rPr>
        <sz val="10"/>
        <color rgb="FF000000"/>
        <rFont val="Tenorite"/>
      </rPr>
      <t>Process consignment bill and replace orders​</t>
    </r>
  </si>
  <si>
    <r>
      <t>o</t>
    </r>
    <r>
      <rPr>
        <sz val="10"/>
        <color rgb="FF000000"/>
        <rFont val="Tenorite"/>
      </rPr>
      <t>Inventory transfers​</t>
    </r>
  </si>
  <si>
    <r>
      <t>o</t>
    </r>
    <r>
      <rPr>
        <sz val="10"/>
        <color rgb="FF000000"/>
        <rFont val="Tenorite"/>
      </rPr>
      <t>Inventory corrections​</t>
    </r>
  </si>
  <si>
    <r>
      <t>o</t>
    </r>
    <r>
      <rPr>
        <sz val="10"/>
        <color rgb="FF000000"/>
        <rFont val="Tenorite"/>
      </rPr>
      <t>Convert Sales Order to consignment</t>
    </r>
  </si>
  <si>
    <r>
      <t>•</t>
    </r>
    <r>
      <rPr>
        <b/>
        <sz val="10"/>
        <color rgb="FF000000"/>
        <rFont val="Tenorite"/>
      </rPr>
      <t>Consignment  Management &amp; Audit</t>
    </r>
  </si>
  <si>
    <r>
      <t>o</t>
    </r>
    <r>
      <rPr>
        <sz val="10"/>
        <color rgb="FF000000"/>
        <rFont val="Tenorite"/>
      </rPr>
      <t>Audit scheduling​</t>
    </r>
  </si>
  <si>
    <r>
      <t>o</t>
    </r>
    <r>
      <rPr>
        <sz val="10"/>
        <color rgb="FF000000"/>
        <rFont val="Tenorite"/>
      </rPr>
      <t>Missing/Expiring Unit Billing​</t>
    </r>
  </si>
  <si>
    <r>
      <t>o</t>
    </r>
    <r>
      <rPr>
        <sz val="10"/>
        <color rgb="FF000000"/>
        <rFont val="Tenorite"/>
      </rPr>
      <t>Inventory Write Offs​</t>
    </r>
  </si>
  <si>
    <t>Sending QCR </t>
  </si>
  <si>
    <t>Warranty &amp; Complaints and Device Tracking</t>
  </si>
  <si>
    <t>Phone/ Email/EDI/QUIN/JDE/FAX/Sales Rep/Internal escalation</t>
  </si>
  <si>
    <r>
      <t>•</t>
    </r>
    <r>
      <rPr>
        <b/>
        <sz val="10"/>
        <color rgb="FF000000"/>
        <rFont val="Tenorite"/>
      </rPr>
      <t>Complaint Intake</t>
    </r>
  </si>
  <si>
    <r>
      <t>o</t>
    </r>
    <r>
      <rPr>
        <sz val="10"/>
        <color rgb="FF000000"/>
        <rFont val="Tenorite"/>
      </rPr>
      <t>Enter the Device complaint in ECM ​</t>
    </r>
  </si>
  <si>
    <r>
      <t>o</t>
    </r>
    <r>
      <rPr>
        <sz val="10"/>
        <color rgb="FF000000"/>
        <rFont val="Tenorite"/>
      </rPr>
      <t>Complain Inquiry</t>
    </r>
  </si>
  <si>
    <r>
      <t>o</t>
    </r>
    <r>
      <rPr>
        <sz val="10"/>
        <color rgb="FF000000"/>
        <rFont val="Tenorite"/>
      </rPr>
      <t>Perform customer complaint actions determined by specific account needs</t>
    </r>
  </si>
  <si>
    <r>
      <t>•</t>
    </r>
    <r>
      <rPr>
        <b/>
        <sz val="10"/>
        <color rgb="FF000000"/>
        <rFont val="Tenorite"/>
      </rPr>
      <t>Warranty</t>
    </r>
  </si>
  <si>
    <r>
      <t>o</t>
    </r>
    <r>
      <rPr>
        <sz val="10"/>
        <color rgb="FF000000"/>
        <rFont val="Tenorite"/>
      </rPr>
      <t>Program awareness</t>
    </r>
  </si>
  <si>
    <r>
      <t>o</t>
    </r>
    <r>
      <rPr>
        <sz val="10"/>
        <color rgb="FF000000"/>
        <rFont val="Tenorite"/>
      </rPr>
      <t>General customer requirements to submit a product replacement and warranty claim</t>
    </r>
  </si>
  <si>
    <r>
      <t>o</t>
    </r>
    <r>
      <rPr>
        <sz val="10"/>
        <color rgb="FF000000"/>
        <rFont val="Tenorite"/>
      </rPr>
      <t>Transferring to the appropriate department</t>
    </r>
  </si>
  <si>
    <r>
      <t>o</t>
    </r>
    <r>
      <rPr>
        <sz val="10"/>
        <color rgb="FF000000"/>
        <rFont val="Tenorite"/>
      </rPr>
      <t>Warranty registration</t>
    </r>
  </si>
  <si>
    <r>
      <t>•</t>
    </r>
    <r>
      <rPr>
        <sz val="10"/>
        <color rgb="FF000000"/>
        <rFont val="Tenorite"/>
      </rPr>
      <t>Site navigation</t>
    </r>
  </si>
  <si>
    <r>
      <t>•</t>
    </r>
    <r>
      <rPr>
        <sz val="10"/>
        <color rgb="FF000000"/>
        <rFont val="Tenorite"/>
      </rPr>
      <t>Database search</t>
    </r>
  </si>
  <si>
    <r>
      <t>•</t>
    </r>
    <r>
      <rPr>
        <sz val="10"/>
        <color rgb="FF000000"/>
        <rFont val="Tenorite"/>
      </rPr>
      <t>Customer warranty review</t>
    </r>
  </si>
  <si>
    <r>
      <t>•</t>
    </r>
    <r>
      <rPr>
        <b/>
        <sz val="10"/>
        <color rgb="FF000000"/>
        <rFont val="Tenorite"/>
      </rPr>
      <t>Device Tracking</t>
    </r>
  </si>
  <si>
    <r>
      <t>o</t>
    </r>
    <r>
      <rPr>
        <sz val="10"/>
        <color rgb="FF000000"/>
        <rFont val="Tenorite"/>
      </rPr>
      <t>Educating HCPs on purpose of the Mentor device tracking form and FDA Regulations</t>
    </r>
  </si>
  <si>
    <r>
      <t>o</t>
    </r>
    <r>
      <rPr>
        <sz val="10"/>
        <color rgb="FF000000"/>
        <rFont val="Tenorite"/>
      </rPr>
      <t>Understand the data that is required for device tracking</t>
    </r>
  </si>
  <si>
    <r>
      <t>o</t>
    </r>
    <r>
      <rPr>
        <sz val="10"/>
        <color rgb="FF000000"/>
        <rFont val="Tenorite"/>
      </rPr>
      <t>Directing HCPs on how to submit the data (Mentor device tracking form, Mentor Direct, email, Fax)</t>
    </r>
  </si>
  <si>
    <t>Tools &amp; Application Landscape – By Process</t>
  </si>
  <si>
    <t>Applications</t>
  </si>
  <si>
    <t>Customer Account Maintenance</t>
  </si>
  <si>
    <t>Returns</t>
  </si>
  <si>
    <t>Field Inventory</t>
  </si>
  <si>
    <t>Complaint, Warranty and Device Tracking</t>
  </si>
  <si>
    <t>JD Edwards</t>
  </si>
  <si>
    <t>✓</t>
  </si>
  <si>
    <t>Salesforce</t>
  </si>
  <si>
    <t>Mentor Direct</t>
  </si>
  <si>
    <t>DSI</t>
  </si>
  <si>
    <t>Genesys Cloud</t>
  </si>
  <si>
    <t>ECM</t>
  </si>
  <si>
    <t>Warranty Registration</t>
  </si>
  <si>
    <t>GHX</t>
  </si>
  <si>
    <t>xIAM Admin</t>
  </si>
  <si>
    <t>Archer Order Literature</t>
  </si>
  <si>
    <t>Axonify</t>
  </si>
  <si>
    <t>TBD - Need to determine future training platform</t>
  </si>
  <si>
    <t>DocuSign</t>
  </si>
  <si>
    <t>ShowPad</t>
  </si>
  <si>
    <t>Public URLs are used - access request is not required</t>
  </si>
  <si>
    <t>MDM</t>
  </si>
  <si>
    <t>CDR (Common Document Repository)</t>
  </si>
  <si>
    <t>Adaptiv</t>
  </si>
  <si>
    <t>S. No.</t>
  </si>
  <si>
    <t>Mailbox</t>
  </si>
  <si>
    <t>customersupport@mentorcorp.com</t>
  </si>
  <si>
    <t xml:space="preserve">Customer Support </t>
  </si>
  <si>
    <t>RA-MNTUS-GLOBALCS@ITS.JNJ.com</t>
  </si>
  <si>
    <t>RA-MNTUS-NewAccount@ITS.JNJ.com</t>
  </si>
  <si>
    <t>New Account</t>
  </si>
  <si>
    <t>FieldInventory@mentorcorp.com​</t>
  </si>
  <si>
    <t>MentorWarranty@its.jnj.com</t>
  </si>
  <si>
    <t>Complaints/Warranty Claim</t>
  </si>
  <si>
    <t>warrantyenrollment@its.jnj.com</t>
  </si>
  <si>
    <t>Warranty Enrollment</t>
  </si>
  <si>
    <t>MNTUSdevicetracking@its.jnj.com</t>
  </si>
  <si>
    <t>Submit Device Tracking</t>
  </si>
  <si>
    <t>RAMNTUSClinDataMgt@Its.jnj.com</t>
  </si>
  <si>
    <t>Clinical Information in Device Tracking</t>
  </si>
  <si>
    <t>Process Observations</t>
  </si>
  <si>
    <t>S.No</t>
  </si>
  <si>
    <t>Area</t>
  </si>
  <si>
    <t>Observations</t>
  </si>
  <si>
    <t>Multiple intake channels (Phone, Email, Chat, EDI, etc.) require a centralized tracking tool to enable effective task allocation, case routing, and end-to-end completion tracking. This will support the generation of system-based data for accurate SLA monitoring and performance measurement.</t>
  </si>
  <si>
    <t>Government Orders</t>
  </si>
  <si>
    <t>Special handling is required for government orders, including price verification and escalation of errors within three days.</t>
  </si>
  <si>
    <t>Communication</t>
  </si>
  <si>
    <t>Common mailbox and defined escalation matrix required for consistent follow-up and tracking.</t>
  </si>
  <si>
    <t>Backlog Management</t>
  </si>
  <si>
    <t>Existing backlog scope, ownership, and resolution timelines to be defined during KA.</t>
  </si>
  <si>
    <t>Training &amp; Enablement</t>
  </si>
  <si>
    <t>Training platform and learning approach yet to be finalized</t>
  </si>
  <si>
    <t>System down</t>
  </si>
  <si>
    <t>Support for any kind of SharePoint or system related issues will be extended by J&amp;J Mentor</t>
  </si>
  <si>
    <t>Process Improvements Identified</t>
  </si>
  <si>
    <t>Process</t>
  </si>
  <si>
    <t>AS-IS Process</t>
  </si>
  <si>
    <t>Proposed AI Solution</t>
  </si>
  <si>
    <t>Impacts</t>
  </si>
  <si>
    <t>Customer Service -&gt; Domestic order process</t>
  </si>
  <si>
    <t>CSRs switch between Salesforce and GHX to compare POs, validate fields/certifications, and update JDE manually.</t>
  </si>
  <si>
    <t>AI compares GHX PO and Salesforce record, highlights discrepancies/cert flags, and pre-stages corrections for CSR approval.</t>
  </si>
  <si>
    <t>Phase - 3</t>
  </si>
  <si>
    <t xml:space="preserve">Customer Service -&gt; Drop-ship order process </t>
  </si>
  <si>
    <t>CSRs refer to a 40+ page PDF for rules, training validation, and authorization checks during entry.</t>
  </si>
  <si>
    <t>AI enforces policy inline, validating training, eligibility, and field completeness via system lookups.</t>
  </si>
  <si>
    <t xml:space="preserve">Customer Service -&gt; Bulk order process </t>
  </si>
  <si>
    <t>CSRs verify emailed forms, check pricing via SharePoint matrix, and manually enter orders in JDE.</t>
  </si>
  <si>
    <t>AI parses forms, validates pricing against matrix, flags issues, and pre-populates JDE entries.</t>
  </si>
  <si>
    <t>Phase - 2</t>
  </si>
  <si>
    <t xml:space="preserve">Customer Service -&gt; Sales warranty order process </t>
  </si>
  <si>
    <t>Team reviews PSN emails, determines order type, validates training, enters orders, and drafts emails.</t>
  </si>
  <si>
    <t>AI classifies order type, pre-fills JDE fields, and auto-generates confirmation emails.</t>
  </si>
  <si>
    <t xml:space="preserve">Customer Service -&gt; Order exchange process </t>
  </si>
  <si>
    <t>CSRs manually validate eligibility, ownership, prior exchanges, shelf life, then enter order and send email.</t>
  </si>
  <si>
    <t>AI validates eligibility, ownership, duplicates, and shelf life, and pre-populates order with go/no-go recommendation.</t>
  </si>
  <si>
    <t xml:space="preserve">Customer Service -&gt; Sample order process </t>
  </si>
  <si>
    <t>CSRs review emailed requests, check approval requirements, enter zero-priced orders, and send confirmations.</t>
  </si>
  <si>
    <t>AI parses requests, detects approval triggers, drafts approval emails, and pre-fills zero-priced orders</t>
  </si>
  <si>
    <t>Customer Service -&gt; International Pick-pack and ship process</t>
  </si>
  <si>
    <t>CSRs manually update JDE with shipping details from warehouse logs and notify Credit Analyst.</t>
  </si>
  <si>
    <t>AI parses shipping logs, batch-updates JDE with shipment details, and drafts notifications.</t>
  </si>
  <si>
    <t xml:space="preserve">Customer Service -&gt; Hold order review process </t>
  </si>
  <si>
    <t>CSRs manually investigate errors, cross-check systems, fix issues, and resubmit orders.</t>
  </si>
  <si>
    <t>AI classifies errors, identifies root cause, and pre-stages corrections for CSR approval.</t>
  </si>
  <si>
    <t>CSRs manually verify export clearance via SharePoint, reference country guidelines, enter orders in JDE, and send confirmations.</t>
  </si>
  <si>
    <t>AI validates regulatory clearance, flags non-approved items, and pre-fills JDE orders using country rules.</t>
  </si>
  <si>
    <t>Customer Service -&gt; Backorder release process</t>
  </si>
  <si>
    <t>CSRs manually match warehouse availability emails to backorders in JDE, release by priority, and notify warehouse.</t>
  </si>
  <si>
    <t>AI matches availability to backorders, prioritizes releases, pre-stages updates, and drafts notifications.</t>
  </si>
  <si>
    <t>Customer Service -&gt; Return product process from Warehouse </t>
  </si>
  <si>
    <t>CSRs manually validate eligibility (shelf life, return window), process requests, and notify stakeholders.</t>
  </si>
  <si>
    <t>AI validates eligibility rules, generates approval/denial, and drafts internal notifications.</t>
  </si>
  <si>
    <t>Customer Service -&gt; Consignment return</t>
  </si>
  <si>
    <t>Staff manually create return forms, coordinate shipping, and update inventory across systems.</t>
  </si>
  <si>
    <t>AI auto-generates return forms, coordinates shipping, and syncs inventory updates across systems.</t>
  </si>
  <si>
    <t>Customer Service -&gt; Consignment order process</t>
  </si>
  <si>
    <t>FI staff manually navigate multiple JDE screens to create consignment sales orders and link serials.</t>
  </si>
  <si>
    <t>AI automates the full JDE workflow (billing, serial release/attachment, shipping) with guided confirmations.</t>
  </si>
  <si>
    <t>FI manually validates eligibility, places third-party cart orders, and notifies stakeholders.</t>
  </si>
  <si>
    <t>AI validates eligibility, auto-submits orders to provider, and drafts notifications.</t>
  </si>
  <si>
    <t>Customer Service -&gt; Easy order process</t>
  </si>
  <si>
    <t>Coordinator manages manual enrollment steps and recurring billing workflows across systems.</t>
  </si>
  <si>
    <t>AI automates enrollment (approvals, setup) and pre-populates recurring billing tasks, enabling exception-based review.</t>
  </si>
  <si>
    <t>CSRs manually review account details across systems and enter orders with conditional routing.</t>
  </si>
  <si>
    <t>AI pre-validates account data, auto-routes order type, and pre-populates order forms for confirmation.</t>
  </si>
  <si>
    <t>Customer Service -&gt; Emergency consignment inventory sales rep order</t>
  </si>
  <si>
    <t>CSRs manually check unit caps, verify addresses, enter orders in JDE, and send confirmations.</t>
  </si>
  <si>
    <t>AI validates cap limits, verifies address, enters JDE order, and auto-generates confirmation.</t>
  </si>
  <si>
    <t>Consignment -&gt; Consignment inventory pick up &amp; delivery process</t>
  </si>
  <si>
    <t>FI manually validates forms, enters S1/B1 orders, and monitors processing status.</t>
  </si>
  <si>
    <t>AI validates forms, submits both orders, monitors status, and auto-escalates exceptions.</t>
  </si>
  <si>
    <t xml:space="preserve">Consignment -&gt; Consignment inventory audit process </t>
  </si>
  <si>
    <t>FI manually send audit requests, reconcile data, trigger billing, and document results.</t>
  </si>
  <si>
    <t>AI automates audit requests, reconciles inventory, triggers billing, and files documentation.</t>
  </si>
  <si>
    <t>Consignment -&gt; Consignment inventory audit process</t>
  </si>
  <si>
    <t>FI manually manage per-rep audits, reconcile data, bill discrepancies, and track in Salesforce.</t>
  </si>
  <si>
    <t>AI manages the full audit lifecycle, updates Salesforce, and flags incomplete reconciliations.</t>
  </si>
  <si>
    <t>Wrap-up Codes</t>
  </si>
  <si>
    <t>CSRs manually select call codes within 60 seconds while completing notes.</t>
  </si>
  <si>
    <t>AI classifies call intent, pre-fills wrap-up codes and summary for CSR confirmation.</t>
  </si>
  <si>
    <t>Case Management System</t>
  </si>
  <si>
    <t>CSRs manually create, update, route cases, and re-enter data across systems.</t>
  </si>
  <si>
    <t>AI auto-creates and populates cases from calls/emails, routes them, and enforces compliance workflows.</t>
  </si>
  <si>
    <t>Process Risks Identified basis TA Analysis</t>
  </si>
  <si>
    <t>Risk Identified</t>
  </si>
  <si>
    <t>Mitigations Proposed</t>
  </si>
  <si>
    <t>Process Map</t>
  </si>
  <si>
    <t>The process map for Customer Account creation and maintenance is currently unavailable.</t>
  </si>
  <si>
    <t>Currently, process flows are embedded within SOPs and are being followed by the team . Standalone process maps may be developed in future to make process more efficient.</t>
  </si>
  <si>
    <t>Process map for entering device complaint inquiries in the ECM (Enterprise Complaint Management) portal is not available.</t>
  </si>
  <si>
    <t>Mentor to create and share the Customer Account Maintenance process map; interim execution will continue as per SOP</t>
  </si>
  <si>
    <t>The process map for device tracking activities is not available.</t>
  </si>
  <si>
    <t>Currently, SOPs are being followed by the team. Standalone process maps may be developed in future to make process more efficient.</t>
  </si>
  <si>
    <t>Process Exception Log</t>
  </si>
  <si>
    <t>Exceptions Identified</t>
  </si>
  <si>
    <t xml:space="preserve">Accounts Receivable &amp; Contract Management </t>
  </si>
  <si>
    <t>Finance and Contract management are not in scope for the Wipro team, though general awareness of related processes is expected for effective customer support and call transfers.</t>
  </si>
  <si>
    <t xml:space="preserve">SLA Exceptions </t>
  </si>
  <si>
    <t>System-related issues (e.g., payment gateway failures) will be treated as exceptions and will not be considered for SLA measurement. Additionally, the SLA clock may be paused when awaiting responses from the customer or IT teams.</t>
  </si>
  <si>
    <t>Mentor Contact Center: E2E Process Steps (L1-L2 only)</t>
  </si>
  <si>
    <t>Omnichannel Intake &amp; Case Creation</t>
  </si>
  <si>
    <t>Receive Customer Interaction: 
Phone (Genesys), Email, Salesforce case, eStore, GHX/EDI
Identify customer / HCP / Sales Rep</t>
  </si>
  <si>
    <t xml:space="preserve">Log Case in System and Select Case Type:
Inquiry / Order / Complaint / Warranty / AR Issue </t>
  </si>
  <si>
    <t>Classify Interaction Type and  Determine routing logic:
Order / Billing / Complaint / Warranty / Device Tracking</t>
  </si>
  <si>
    <t>Customer &amp; Account Validation</t>
  </si>
  <si>
    <t>Retrieve Customer Account: Validate:
Status (Active / On Hold)
Bill-To / Ship-To
Restrictions / Watchlist</t>
  </si>
  <si>
    <t>Verify Contact Authorization: Confirm HCP / authorized user and Validate Data Completeness</t>
  </si>
  <si>
    <t>Issue Resolution / Transaction Execution</t>
  </si>
  <si>
    <t>PATH A: Inquiry Resolution
Provide Information / Resolution</t>
  </si>
  <si>
    <t>PATH B: Order Entry / Transaction
Create / Update Order
Process Payment
Submit &amp; Confirm Order</t>
  </si>
  <si>
    <t>PATH C: Complaint Intake
Capture Complaint Details
Escalate Complaint</t>
  </si>
  <si>
    <t>PATH D: Warranty Processing
Validate Warranty Eligibility
Execute Warranty Action</t>
  </si>
  <si>
    <t>PATH E: AR / Billing Support
Review Billing Issue
Resolve AR Issue</t>
  </si>
  <si>
    <t>Compliance, Escalation &amp; Exception Handling</t>
  </si>
  <si>
    <t>Identify Compliance Trigger:
Check if:
Adverse event and Regulatory impact</t>
  </si>
  <si>
    <t>Escalate to Internal Teams:
Assign: Quality / Regulatory / AR
Notify via system/email</t>
  </si>
  <si>
    <t>Initiate Containment Actions
Place: Order hold
Product hold / recall (if needed)</t>
  </si>
  <si>
    <t>Monitoring, Tracking &amp; Follow-Up</t>
  </si>
  <si>
    <t>Track Case Progress: 
Monitor: Case status and SLA timers
Follow-up via: Email / call</t>
  </si>
  <si>
    <t>Perform Quality Monitoring: 
QA evaluate: Call recordings and Case handling
Score performance</t>
  </si>
  <si>
    <t>Closure &amp; Customer Communication</t>
  </si>
  <si>
    <t>Communicate Resolution: Resolution summary via email, Confirm customer satisfaction</t>
  </si>
  <si>
    <t xml:space="preserve">Update Documentation:
Attach: Notes / forms / files
Update: Case history </t>
  </si>
  <si>
    <t>Close Case
Update status = Closed Archive case</t>
  </si>
  <si>
    <t>Performance &amp; Reporting</t>
  </si>
  <si>
    <t>Generate Operational Reports</t>
  </si>
  <si>
    <t xml:space="preserve">Track Customer Metrics and Conduct KPI Review &amp; Improvement  </t>
  </si>
  <si>
    <t>Business Continuity Approach</t>
  </si>
  <si>
    <t>Critical Performance Measurements (CPM aka SLA)</t>
  </si>
  <si>
    <t>Metric Type</t>
  </si>
  <si>
    <t>Metric Name</t>
  </si>
  <si>
    <t>Process Area</t>
  </si>
  <si>
    <t>Metric Definition (Exact Mentor Wording + Exclusion Criteria)</t>
  </si>
  <si>
    <t>Minimum Target</t>
  </si>
  <si>
    <t>Expected Target</t>
  </si>
  <si>
    <t>T+3</t>
  </si>
  <si>
    <t>T+6</t>
  </si>
  <si>
    <t>Measurement Frequency</t>
  </si>
  <si>
    <t>SLA</t>
  </si>
  <si>
    <t>Order Release Timeliness</t>
  </si>
  <si>
    <t>Order Entry</t>
  </si>
  <si>
    <t>All order types flowing into ‘landing page’ that are researched &amp; corrected daily for processing — released every 20 minutes (Excludes system downtime, upstream data integrity issues, warehouse/distribution delays, and compliance/legal holds impacting order release)</t>
  </si>
  <si>
    <t>≥95% within 20 mins</t>
  </si>
  <si>
    <t>≥98% within 15 mins</t>
  </si>
  <si>
    <t>Monthly</t>
  </si>
  <si>
    <t>Complaint Intake Timeliness</t>
  </si>
  <si>
    <t>Complaint Intake</t>
  </si>
  <si>
    <t>Capture all complaints within awareness date of no more than 48 hours based on Johnson &amp; Johnson complaint procedures (Excludes delayed complaint awareness from HCP/patient, incomplete information submission, and system/email intake failures outside Wipro control)</t>
  </si>
  <si>
    <t>≥95%</t>
  </si>
  <si>
    <t>≥99%</t>
  </si>
  <si>
    <t>Warranty Claim Timeliness (30-Day Promise)</t>
  </si>
  <si>
    <t>Warranty</t>
  </si>
  <si>
    <t>Disposition all patient  claims within 30 days of explant receipt at J&amp;J labs.</t>
  </si>
  <si>
    <t>≥98%</t>
  </si>
  <si>
    <t>Consignment Audit Completion</t>
  </si>
  <si>
    <t>Consignment</t>
  </si>
  <si>
    <t>Follow audit schedule and have quarterly reviews with Sr Leadership to ensure tracking to plan for adherence (Excludes sales rep/customer scheduling conflicts, field audit access limitations, and customer-driven rescheduling delays)</t>
  </si>
  <si>
    <t>≥95%/100%</t>
  </si>
  <si>
    <t>≥98%/100%</t>
  </si>
  <si>
    <t>Note: Quarterly Targets need to be managed to meet YE plan 100% with exceptions.  Minimum: 98% meet audit schedule due date</t>
  </si>
  <si>
    <t>and 100% with 3 business days after due</t>
  </si>
  <si>
    <t>date.</t>
  </si>
  <si>
    <t>Consignment Audit Billing</t>
  </si>
  <si>
    <t>Consignment / AR</t>
  </si>
  <si>
    <t>Consignment audit billings completed as specified in targets (Excludes AR approval delays, PO issuance delays, billing disputes, and upstream contract discrepancies)</t>
  </si>
  <si>
    <t>20 days</t>
  </si>
  <si>
    <t>Key Performance Indicators (KPI)</t>
  </si>
  <si>
    <t>Abandoned Calls / Service Level</t>
  </si>
  <si>
    <t>Contact Center</t>
  </si>
  <si>
    <t>&lt;10% of abandoned calls waited over 60 seconds (Excludes system outages, telecom/network failures, and IVR/platform disruptions outside Wipro control)</t>
  </si>
  <si>
    <t>≤10% abandonment</t>
  </si>
  <si>
    <r>
      <t>&lt;</t>
    </r>
    <r>
      <rPr>
        <sz val="10"/>
        <color rgb="FF000000"/>
        <rFont val="Tenorite"/>
      </rPr>
      <t>5% abandonment</t>
    </r>
  </si>
  <si>
    <r>
      <t>&lt;</t>
    </r>
    <r>
      <rPr>
        <sz val="10"/>
        <color rgb="FF000000"/>
        <rFont val="Tenorite"/>
      </rPr>
      <t>10%</t>
    </r>
  </si>
  <si>
    <r>
      <t>&lt;</t>
    </r>
    <r>
      <rPr>
        <sz val="10"/>
        <color rgb="FF000000"/>
        <rFont val="Tenorite"/>
      </rPr>
      <t>5%</t>
    </r>
  </si>
  <si>
    <t>Average Handle Time (AHT)</t>
  </si>
  <si>
    <t>Not explicitly defined in SLA (Operational metric tracked) (Excludes complex/escalated cases, cross-functional dependencies, system latency delays, and customer-driven prolongation such as incomplete information or multi-issue inquiries)</t>
  </si>
  <si>
    <t>Baseline: 5:16 mins (avg)</t>
  </si>
  <si>
    <t>Continuous improvement vs baseline</t>
  </si>
  <si>
    <t>≤5:30</t>
  </si>
  <si>
    <t>Government Order Timeliness &amp; Accuracy</t>
  </si>
  <si>
    <t>Order Management</t>
  </si>
  <si>
    <t>Orders are current, accurate, and complete, reflect the right price, invoices reflect the correct payment amount, and any error is escalated within 3-days; includes compliance with US government requirements (Excludes upstream master data/pricing or contract discrepancies, system/integration downtime (e.g., JDE/SFDC), compliance/legal holds, AR approval dependencies for billing/payment validation, and customer/agency-provided data inaccuracies)</t>
  </si>
  <si>
    <t>Consignment PO Pending Management</t>
  </si>
  <si>
    <t>Manage audit billings (PO Pending) to obtain PO 4-5 times attempts within 30 days, attempting to collect PO (Excludes customer delay in PO issuance, contract disputes, and incomplete billing documentation from upstream)</t>
  </si>
  <si>
    <t>Returns Posted Daily</t>
  </si>
  <si>
    <t>Reverse Logistics</t>
  </si>
  <si>
    <t>Returns received by Distribution Center posted daily by 6PM; refunds processed next business day for credit card transactions (Excludes warehouse receiving delays, logistics delays, AR reconciliation dependency, and system batch processing failures)</t>
  </si>
  <si>
    <t>≥90%</t>
  </si>
  <si>
    <t>Customer Satisfaction (CSAT)</t>
  </si>
  <si>
    <t>CX</t>
  </si>
  <si>
    <t>Measures how satisfied customers are with a specific interaction, usually via post-call surveys (Excludes external factors such as product issues, delivery delays, or unresolved cross-functional cases outside Wipro control)</t>
  </si>
  <si>
    <t>≥85%</t>
  </si>
  <si>
    <t>≥85–90%</t>
  </si>
  <si>
    <t>≥75%</t>
  </si>
  <si>
    <t>First Call Resolution (FCR)</t>
  </si>
  <si>
    <t>Percentage of customer issues resolved during the first interaction (Excludes cases requiring cross-functional follow-up, system limitations, or incomplete information from customer)</t>
  </si>
  <si>
    <t>≥80%</t>
  </si>
  <si>
    <t>≥70%</t>
  </si>
  <si>
    <t>Operational Performance Indicators (OPI)</t>
  </si>
  <si>
    <t>OPI</t>
  </si>
  <si>
    <t>Device Tracking Entry Accuracy</t>
  </si>
  <si>
    <t>Device Tracking</t>
  </si>
  <si>
    <t>% of device tracking forms QA-ed with no errors (fields include Dr name, serial number, etc.) (Excludes missing or incorrect data provided by HCP/customer, system interface/integration errors, and legacy data inconsistencies)</t>
  </si>
  <si>
    <t>9%)</t>
  </si>
  <si>
    <t>Daily Prepaid Billing Report</t>
  </si>
  <si>
    <t>Billing</t>
  </si>
  <si>
    <t>Taking previous credit card orders pending processing and charging credit cards; follow-up if payment fails (Excludes payment gateway failures, bank authorization issues, and external payment processor downtime)</t>
  </si>
  <si>
    <t>Note: Credit card number should be obtained for prepaid accounts before placing orders</t>
  </si>
  <si>
    <t>Completion of Compliance Training</t>
  </si>
  <si>
    <t>Compliance</t>
  </si>
  <si>
    <t>Ensuring all agents complete required JNJ training modules with timely completion and zero late submissions (Excludes training system downtime, delayed content release from client, and access provisioning delays)</t>
  </si>
  <si>
    <t>Customer Effort Score (CES)</t>
  </si>
  <si>
    <t>Measures how easy it was for customers to get their issue resolved (Excludes process steps requiring multiple touchpoints due to system limitations or dependency on external teams)</t>
  </si>
  <si>
    <t>Average Hold Time</t>
  </si>
  <si>
    <t>Not explicitly defined in SLA (Operational metric tracked) (Excludes system slowness, integration latency, and required holds due to external team coordination such as AR, warehouse, or compliance validation)</t>
  </si>
  <si>
    <r>
      <t>&lt;</t>
    </r>
    <r>
      <rPr>
        <sz val="10"/>
        <color rgb="FF000000"/>
        <rFont val="Tenorite"/>
      </rPr>
      <t>2:00</t>
    </r>
  </si>
  <si>
    <r>
      <t>&lt;</t>
    </r>
    <r>
      <rPr>
        <sz val="10"/>
        <color rgb="FF000000"/>
        <rFont val="Tenorite"/>
      </rPr>
      <t>1:41</t>
    </r>
  </si>
  <si>
    <t>Baseline</t>
  </si>
  <si>
    <t>Improve</t>
  </si>
  <si>
    <t>Call QA Evaluation Score</t>
  </si>
  <si>
    <t>QA</t>
  </si>
  <si>
    <t>Quality monitoring score — Minimum Target: 90% (Excludes initial training/ramp-up phase (T+0–T+3), system limitations affecting compliance steps, and incomplete information provided by customers impacting evaluation)</t>
  </si>
  <si>
    <t>Average Speed to Answer (ASA)</t>
  </si>
  <si>
    <t>80% of calls answered within 90 seconds (Excludes system/telephony downtime, force majeure events, and abnormal call spikes beyond forecast capacity or external event-driven surges)</t>
  </si>
  <si>
    <t>≥95% in 60 seconds</t>
  </si>
  <si>
    <t>≥97% in 60 seconds</t>
  </si>
  <si>
    <t>≥97%</t>
  </si>
  <si>
    <t>Expiring Inventory Notifications</t>
  </si>
  <si>
    <t>Inventory check-ups with expiring notifications to all customers and sales reps with units having &lt;6 months shelf life; H2 includes &lt;12 months shelf life — 100% notification rate (Excludes data sync/integration delays across systems, missing or inaccurate inventory data from upstream systems, and customer master data gaps)</t>
  </si>
  <si>
    <t>Expiring Inventory Retrieval / Collection</t>
  </si>
  <si>
    <t>100% of expired and expiring within 12 months consignment units in the field; targeted 95% collection/resolution (Excludes customer/HCP non-response, field rep dependency delays, and site access/logistics constraints outside Wipro control)</t>
  </si>
  <si>
    <t>Dashboards &amp; Reporting Requirements (Customer Service)</t>
  </si>
  <si>
    <t>SN</t>
  </si>
  <si>
    <t>Report</t>
  </si>
  <si>
    <t>Name</t>
  </si>
  <si>
    <t>Purpose of Report</t>
  </si>
  <si>
    <t>Status</t>
  </si>
  <si>
    <t>Assignee</t>
  </si>
  <si>
    <t>Tools/ Platforms</t>
  </si>
  <si>
    <t>Frequency</t>
  </si>
  <si>
    <t>Service Level Report</t>
  </si>
  <si>
    <t>Customer Service SLA Dashboard</t>
  </si>
  <si>
    <t>Tracks 97% within 60 seconds service level adherence and queue responsiveness</t>
  </si>
  <si>
    <t>Existing (Critical KPI)</t>
  </si>
  <si>
    <t>Operations / Workforce</t>
  </si>
  <si>
    <t>Telephony Platform + Power BI</t>
  </si>
  <si>
    <t>Real-Time + Hourly + Daily</t>
  </si>
  <si>
    <t>Abandonment Report</t>
  </si>
  <si>
    <t>Call Abandonment Monitoring Report</t>
  </si>
  <si>
    <t>Monitors ≤3% abandonment target and identifies queue leakage trends</t>
  </si>
  <si>
    <t>Existing</t>
  </si>
  <si>
    <t>Operations / WFM</t>
  </si>
  <si>
    <t>Telephony Platform</t>
  </si>
  <si>
    <t>Order Breakdown Report</t>
  </si>
  <si>
    <t>Order Issue &amp; Breakdown Tracker</t>
  </si>
  <si>
    <t>Tracks order placement issues, tracking inquiries, and order exception trends</t>
  </si>
  <si>
    <t>Customer Service Team</t>
  </si>
  <si>
    <t>CRM / JDE / Excel</t>
  </si>
  <si>
    <t>Daily + Weekly Trend Review</t>
  </si>
  <si>
    <t>AHT Report</t>
  </si>
  <si>
    <t>Customer Service AHT Performance Report</t>
  </si>
  <si>
    <t>Monitors 4:14 AHT baseline and identifies handle time drivers</t>
  </si>
  <si>
    <t>Operations Excellence / QA</t>
  </si>
  <si>
    <t>Telephony + Power BI</t>
  </si>
  <si>
    <t>Hourly + Daily + Weekly</t>
  </si>
  <si>
    <t>QA Monitoring Report</t>
  </si>
  <si>
    <t>Customer Service Transactional QA Report</t>
  </si>
  <si>
    <t>Measures call quality, documentation quality, and compliance adherence</t>
  </si>
  <si>
    <t>Existing (100% monitoring for escalations)</t>
  </si>
  <si>
    <t>QA Team</t>
  </si>
  <si>
    <t>QA Monitoring Tool</t>
  </si>
  <si>
    <t>Daily + Weekly + Monthly Calibration</t>
  </si>
  <si>
    <t>Customer Experience Report</t>
  </si>
  <si>
    <t>CSAT / FCR Monitoring Dashboard</t>
  </si>
  <si>
    <t>Tracks customer satisfaction and first call resolution performance</t>
  </si>
  <si>
    <t>CX Team</t>
  </si>
  <si>
    <t>Survey Platform + Power BI</t>
  </si>
  <si>
    <t>Weekly + Monthly</t>
  </si>
  <si>
    <t>Order Release Timeliness Report</t>
  </si>
  <si>
    <t>Order Release SLA Monitoring</t>
  </si>
  <si>
    <t>Tracks order release within 20 minutes SLA target</t>
  </si>
  <si>
    <t>Existing (Critical SLA)</t>
  </si>
  <si>
    <t>JDE + Power BI</t>
  </si>
  <si>
    <t>Real-Time + Daily</t>
  </si>
  <si>
    <t>Email Quality Report</t>
  </si>
  <si>
    <t>Customer Service Email Audit Report</t>
  </si>
  <si>
    <t>Audits customer email handling accuracy and response timeliness</t>
  </si>
  <si>
    <t>QA / Operations</t>
  </si>
  <si>
    <t>Outlook Shared Mailbox + QA Tool</t>
  </si>
  <si>
    <t>Daily + Weekly Sampling Review</t>
  </si>
  <si>
    <t>Escalation Report</t>
  </si>
  <si>
    <t>Customer Escalation Tracking Report</t>
  </si>
  <si>
    <t>Tracks escalated customer interactions and aging</t>
  </si>
  <si>
    <t>Operations Leadership</t>
  </si>
  <si>
    <t>CRM / Power BI</t>
  </si>
  <si>
    <t>Daily + Weekly Governance</t>
  </si>
  <si>
    <t>Daily Operations Report</t>
  </si>
  <si>
    <t>Customer Service Daily KPI Report</t>
  </si>
  <si>
    <t>Consolidated operational dashboard for calls, SLA, AHT, and staffing</t>
  </si>
  <si>
    <t>Power BI</t>
  </si>
  <si>
    <t>Daily Executive Reporting</t>
  </si>
  <si>
    <t>Dashboards &amp; Reporting Requirements (Consignment Queue)</t>
  </si>
  <si>
    <t>Consignment Audit Report</t>
  </si>
  <si>
    <t>Consignment Audit Completion Dashboard</t>
  </si>
  <si>
    <t>Tracks audit completion adherence and due-date compliance</t>
  </si>
  <si>
    <t>Consignment Team</t>
  </si>
  <si>
    <t>Daily + Weekly + Monthly</t>
  </si>
  <si>
    <t>Expiring Inventory Report</t>
  </si>
  <si>
    <t>Expiring Inventory Notification Report</t>
  </si>
  <si>
    <t>Tracks units approaching expiration within 12 months</t>
  </si>
  <si>
    <t>Inventory / Field Team</t>
  </si>
  <si>
    <t>JDE / Salesforce</t>
  </si>
  <si>
    <t>Inventory Retrieval Report</t>
  </si>
  <si>
    <t>Expiring Inventory Collection Report</t>
  </si>
  <si>
    <t>Tracks return compliance within 30 days</t>
  </si>
  <si>
    <t>Consignment Operations</t>
  </si>
  <si>
    <t>JDE + Excel</t>
  </si>
  <si>
    <t>Daily + Weekly Escalation Review</t>
  </si>
  <si>
    <t>PO Pending Report</t>
  </si>
  <si>
    <t>Consignment PO Pending Aging Report</t>
  </si>
  <si>
    <t>Tracks missing PO follow-ups and billing escalation status</t>
  </si>
  <si>
    <t>AR / Consignment Team</t>
  </si>
  <si>
    <t>JDE</t>
  </si>
  <si>
    <t>Daily + Weekly Aging Review</t>
  </si>
  <si>
    <t>Billing Exception Report</t>
  </si>
  <si>
    <t>Consignment Billing Exception Dashboard</t>
  </si>
  <si>
    <t>Monitors billing discrepancies and missing inventory charges</t>
  </si>
  <si>
    <t>AR Team</t>
  </si>
  <si>
    <t>Daily + Monthly Trend Analysis</t>
  </si>
  <si>
    <t>Consignment QA Report</t>
  </si>
  <si>
    <t>Consignment Transaction Audit Report</t>
  </si>
  <si>
    <t>Audits inventory checks, order validation, and account accuracy</t>
  </si>
  <si>
    <t>Daily + Weekly Calibration</t>
  </si>
  <si>
    <t>SLA Monitoring Report</t>
  </si>
  <si>
    <t>Consignment SLA Dashboard</t>
  </si>
  <si>
    <t>Tracks completion timeliness and audit turnaround metrics</t>
  </si>
  <si>
    <t>Real-Time Dashboard + Daily Review</t>
  </si>
  <si>
    <t>Field Inventory Trend Report</t>
  </si>
  <si>
    <t>Consignment Trend &amp; Backlog Dashboard</t>
  </si>
  <si>
    <t>Monitors field inventory aging and retrieval trends</t>
  </si>
  <si>
    <t>Leadership</t>
  </si>
  <si>
    <t>Dashboards &amp; Reporting Requirements (Device Tracking)</t>
  </si>
  <si>
    <t>Device Tracking Accuracy Report</t>
  </si>
  <si>
    <t>Device Tracking Entry Accuracy Dashboard</t>
  </si>
  <si>
    <t>Validates serial number, implant date, and surgeon information accuracy</t>
  </si>
  <si>
    <t>Existing (Critical QA)</t>
  </si>
  <si>
    <t>Device Tracking Team</t>
  </si>
  <si>
    <t>Salesforce / QA Tool</t>
  </si>
  <si>
    <t>Daily + Weekly QA Governance</t>
  </si>
  <si>
    <t>DCF Tracking Report</t>
  </si>
  <si>
    <t>DCF Follow-up Monitoring Report</t>
  </si>
  <si>
    <t>Tracks outbound DCF call follow-ups and completion</t>
  </si>
  <si>
    <t>Device Tracking Operations</t>
  </si>
  <si>
    <t>CRM / Excel</t>
  </si>
  <si>
    <t>Daily + Weekly Follow-up Review</t>
  </si>
  <si>
    <t>Device Inquiry Report</t>
  </si>
  <si>
    <t>HCP/PT Device Inquiry Dashboard</t>
  </si>
  <si>
    <t>Monitors inquiry types, turnaround, and escalations</t>
  </si>
  <si>
    <t>Operations</t>
  </si>
  <si>
    <t>CRM</t>
  </si>
  <si>
    <t>Daily + Weekly Trend Analysis</t>
  </si>
  <si>
    <t>QA Validation Report</t>
  </si>
  <si>
    <t>Device Tracking QA Audit Report</t>
  </si>
  <si>
    <t>Audits manual form entries versus source documents</t>
  </si>
  <si>
    <t>Existing (100% QA validation)</t>
  </si>
  <si>
    <t>Compliance Monitoring Report</t>
  </si>
  <si>
    <t>Device Tracking Compliance Dashboard</t>
  </si>
  <si>
    <t>Tracks documentation completeness and regulatory accuracy</t>
  </si>
  <si>
    <t>Compliance / QA</t>
  </si>
  <si>
    <t>Salesforce / ECM</t>
  </si>
  <si>
    <t>Daily + Monthly Compliance Review</t>
  </si>
  <si>
    <t>Productivity Report</t>
  </si>
  <si>
    <t>Device Tracking Operations KPI Dashboard</t>
  </si>
  <si>
    <t>Tracks productivity, backlog, and queue aging</t>
  </si>
  <si>
    <t>Dashboards &amp; Reporting Requirements (Warranty Claims)</t>
  </si>
  <si>
    <t>Warranty Timeliness Report</t>
  </si>
  <si>
    <t>Warranty Claims 30-Day SLA Dashboard</t>
  </si>
  <si>
    <t>Tracks claim disposition within 30 days</t>
  </si>
  <si>
    <t>Warranty Team</t>
  </si>
  <si>
    <t>Warranty Follow-up Report</t>
  </si>
  <si>
    <t>Warranty Follow-up Tracker</t>
  </si>
  <si>
    <t>Tracks HCP/PT follow-up interactions and open claims</t>
  </si>
  <si>
    <t>Warranty Operations</t>
  </si>
  <si>
    <t>Warranty Audit Report</t>
  </si>
  <si>
    <t>Warranty Transaction QA Report</t>
  </si>
  <si>
    <t>Validates warranty determination accuracy and documentation</t>
  </si>
  <si>
    <t>Existing (100% QA)</t>
  </si>
  <si>
    <t>Daily + Weekly QA Calibration</t>
  </si>
  <si>
    <t>Claims Aging Report</t>
  </si>
  <si>
    <t>Warranty Claims Aging Dashboard</t>
  </si>
  <si>
    <t>Monitors unresolved claims and escalation risk</t>
  </si>
  <si>
    <t>Daily + Weekly Backlog Governance</t>
  </si>
  <si>
    <t>Return Kit Monitoring Report</t>
  </si>
  <si>
    <t>Return Kit Request &amp; Closure Report</t>
  </si>
  <si>
    <t>Tracks return kit issuance and completion</t>
  </si>
  <si>
    <t>Daily + Weekly Closure Review</t>
  </si>
  <si>
    <t>Claim Decision Report</t>
  </si>
  <si>
    <t>Warranty Determination Accuracy Report</t>
  </si>
  <si>
    <t>Tracks claim approval/denial consistency</t>
  </si>
  <si>
    <t>Quality / Warranty SMEs</t>
  </si>
  <si>
    <t>Salesforce / SAP</t>
  </si>
  <si>
    <t>Weekly + Monthly Governance Review</t>
  </si>
  <si>
    <t>AHT Monitoring Report</t>
  </si>
  <si>
    <t>Warranty Claims AHT Dashboard</t>
  </si>
  <si>
    <t>Tracks 6:00 AHT baseline and process inefficiencies</t>
  </si>
  <si>
    <t>Operations Excellence</t>
  </si>
  <si>
    <t>Dashboards &amp; Reporting Requirements (Warranty Enrollment)</t>
  </si>
  <si>
    <t>Warranty Registration Report</t>
  </si>
  <si>
    <t>Warranty Enrollment Dashboard</t>
  </si>
  <si>
    <t>Tracks warranty registration processing and completion</t>
  </si>
  <si>
    <t>Daily + Weekly Completion Review</t>
  </si>
  <si>
    <t>Coverage Validation Report</t>
  </si>
  <si>
    <t>Warranty Coverage Accuracy Report</t>
  </si>
  <si>
    <t>Validates eligibility and coverage determination</t>
  </si>
  <si>
    <t>Daily + Weekly Accuracy Review</t>
  </si>
  <si>
    <t>Enrollment QA Report</t>
  </si>
  <si>
    <t>Warranty Enrollment QA Audit Report</t>
  </si>
  <si>
    <t>Audits registration completeness and compliance</t>
  </si>
  <si>
    <t>Enrollment Aging Report</t>
  </si>
  <si>
    <t>Pending Warranty Registration Dashboard</t>
  </si>
  <si>
    <t>Tracks incomplete or delayed enrollments</t>
  </si>
  <si>
    <t>Transfer to Intake Report</t>
  </si>
  <si>
    <t>Warranty Transfer Monitoring Dashboard</t>
  </si>
  <si>
    <t>Tracks transfers from warranty to intake</t>
  </si>
  <si>
    <t>Warranty / Intake Team</t>
  </si>
  <si>
    <t>Daily + Weekly Workflow Governance</t>
  </si>
  <si>
    <t>Dashboards &amp; Reporting Requirements (Mentor Direct)</t>
  </si>
  <si>
    <t>Portal Access Report</t>
  </si>
  <si>
    <t>MentorDirect Access Monitoring Dashboard</t>
  </si>
  <si>
    <t>Tracks password resets, account access issues, and portal usability</t>
  </si>
  <si>
    <t>MentorDirect Team</t>
  </si>
  <si>
    <t>Portal Analytics</t>
  </si>
  <si>
    <t>Real-Time + Daily + Weekly</t>
  </si>
  <si>
    <t>Account Request Report</t>
  </si>
  <si>
    <t>MentorDirect Account Creation Tracker</t>
  </si>
  <si>
    <t>Tracks account setup requests and completion</t>
  </si>
  <si>
    <t>MentorDirect Operations</t>
  </si>
  <si>
    <t>PO Missing Information Report</t>
  </si>
  <si>
    <t>Outbound PO Missing Info Dashboard</t>
  </si>
  <si>
    <t>Tracks outbound missing PO follow-ups</t>
  </si>
  <si>
    <t>Operations Team</t>
  </si>
  <si>
    <t>Portal QA Report</t>
  </si>
  <si>
    <t>MentorDirect Transactional QA Audit</t>
  </si>
  <si>
    <t>Audits portal request handling accuracy and timeliness</t>
  </si>
  <si>
    <t>Account Research Report</t>
  </si>
  <si>
    <t>MentorDirect Account Research Dashboard</t>
  </si>
  <si>
    <t>Tracks unresolved account research requests</t>
  </si>
  <si>
    <t>Dashboards &amp; Reporting Requirements (Customer Account)</t>
  </si>
  <si>
    <t>Account Modification Report</t>
  </si>
  <si>
    <t>Customer Account Update Dashboard</t>
  </si>
  <si>
    <t>Tracks account modifications and status updates</t>
  </si>
  <si>
    <t>Customer Account Team</t>
  </si>
  <si>
    <t>AR Transfer Report</t>
  </si>
  <si>
    <t>AR Transfer Monitoring Dashboard</t>
  </si>
  <si>
    <t>Tracks AR-related transfers and completion</t>
  </si>
  <si>
    <t>AR Operations</t>
  </si>
  <si>
    <t>Daily + Weekly Completion Governance</t>
  </si>
  <si>
    <t>Account Creation Report</t>
  </si>
  <si>
    <t>New Customer Account Setup Report</t>
  </si>
  <si>
    <t>Tracks new account creation processing</t>
  </si>
  <si>
    <t>Customer Account QA Report</t>
  </si>
  <si>
    <t>Customer Account Transaction Audit Report</t>
  </si>
  <si>
    <t>Audits account accuracy and documentation</t>
  </si>
  <si>
    <t>Account Aging Report</t>
  </si>
  <si>
    <t>Pending Customer Account Request Dashboard</t>
  </si>
  <si>
    <t>Tracks unresolved account requests</t>
  </si>
  <si>
    <t>Dashboards &amp; Reporting Requirements (Product Complaints)</t>
  </si>
  <si>
    <t>Complaint Intake Timeliness Report</t>
  </si>
  <si>
    <t>Complaint Intake SLA Dashboard</t>
  </si>
  <si>
    <t>Tracks complaint intake within 48 hours</t>
  </si>
  <si>
    <t>Existing (Critical Compliance KPI)</t>
  </si>
  <si>
    <t>Intake Team</t>
  </si>
  <si>
    <t>Real-Time + Daily + Weekly + Monthly</t>
  </si>
  <si>
    <t>MDR/MIR Timeliness Report</t>
  </si>
  <si>
    <t>Regulatory Timeliness Dashboard</t>
  </si>
  <si>
    <t>Tracks FDA/EU/Canada reporting compliance</t>
  </si>
  <si>
    <t>Existing (Critical Regulatory Report)</t>
  </si>
  <si>
    <t>Vigilance Team</t>
  </si>
  <si>
    <t>Daily + Weekly + Monthly Regulatory Governance</t>
  </si>
  <si>
    <t>Complaint QA Report</t>
  </si>
  <si>
    <t>Product Complaint Transactional Audit Report</t>
  </si>
  <si>
    <t>Audits complaint intake completeness and ECM documentation</t>
  </si>
  <si>
    <t>QA / Compliance</t>
  </si>
  <si>
    <t>Complaint Aging Report</t>
  </si>
  <si>
    <t>Open Complaint Aging Dashboard</t>
  </si>
  <si>
    <t>Monitors aging complaints and backlog</t>
  </si>
  <si>
    <t>Operations / Leadership</t>
  </si>
  <si>
    <t>Adverse Event Report</t>
  </si>
  <si>
    <t>Adverse Event Classification Report</t>
  </si>
  <si>
    <t>Tracks adverse event determination accuracy</t>
  </si>
  <si>
    <t>Daily + Weekly Escalation Governance</t>
  </si>
  <si>
    <t>CAPA Linkage Report</t>
  </si>
  <si>
    <t>Complaint CAPA Escalation Dashboard</t>
  </si>
  <si>
    <t>Tracks recurring complaint trends triggering CAPA</t>
  </si>
  <si>
    <t>Quality Team</t>
  </si>
  <si>
    <t>Weekly + Monthly Trend Governance</t>
  </si>
  <si>
    <t>Product Trend Report</t>
  </si>
  <si>
    <t>Product Complaint Trending Dashboard</t>
  </si>
  <si>
    <t>Monitors complaint trends by product family</t>
  </si>
  <si>
    <t>Quality / Product Teams</t>
  </si>
  <si>
    <t>Weekly + Monthly Trending Review</t>
  </si>
  <si>
    <t>Audit Listing Report</t>
  </si>
  <si>
    <t>Audit-Ready Complaint Listing</t>
  </si>
  <si>
    <t>Provides traceable complaint documentation for audits</t>
  </si>
  <si>
    <t>Quality / Audit Team</t>
  </si>
  <si>
    <t>ECM / Power BI</t>
  </si>
  <si>
    <t>Weekly + Monthly Audit Readiness Review</t>
  </si>
  <si>
    <t>Hygiene Report</t>
  </si>
  <si>
    <t>Complaint Data Hygiene Dashboard</t>
  </si>
  <si>
    <t>Tracks missing fields and incomplete complaint records</t>
  </si>
  <si>
    <t>QA / SMEs</t>
  </si>
  <si>
    <t>ECM + Excel</t>
  </si>
  <si>
    <t>Daily + Weekly Exception Review</t>
  </si>
  <si>
    <t>EXECUTIVE OVERVIEW — FROM FOUNDATION TO AUTONOMY</t>
  </si>
  <si>
    <t>Balanced view of business outcomes, technology progression, governance maturity, and executive decision gates</t>
  </si>
  <si>
    <t>Story in brief: The roadmap deliberately sequences control before autonomy while building a unified view of customer interaction history across all channels. Phases 1–2 establish trusted reporting, knowledge, cases, status, and communication records; Phase 3 explicitly unifies omnichannel history and Customer 360 context; Phases 4–6 use that context for prediction, governed agent action, and autonomous optimization. Each transition should be gated by evidence on data quality, identity, consent, adoption, model performance, accountability, security, and resilience. Consulting Flows additionally extends the operating model across surgeon, office-manager, sales-representative, CSR, and patient journeys without replacing the existing transformation roadmap.</t>
  </si>
  <si>
    <t>36-MONTH TRANSFORMATION ROADMAP</t>
  </si>
  <si>
    <t>Phase</t>
  </si>
  <si>
    <t>Timing</t>
  </si>
  <si>
    <t>Strategic shift</t>
  </si>
  <si>
    <t>Priority capabilities</t>
  </si>
  <si>
    <t>Headline evidence</t>
  </si>
  <si>
    <t>Executive gate</t>
  </si>
  <si>
    <t>Phase 1</t>
  </si>
  <si>
    <t>0–4 months</t>
  </si>
  <si>
    <t>Stabilize &amp; govern</t>
  </si>
  <si>
    <t>Operational visibility; process and knowledge standards; unified case/customer-view blueprint; dynamic routing; reporting automation Add Buyer/GovernAI approval, authoritative architecture ADRs, safety/model/retrieval baselines, source hierarchy, SoR and dependency baseline.</t>
  </si>
  <si>
    <t>Report availability 100% | Reporting accuracy &gt;99% | SLA compliance &gt;95%</t>
  </si>
  <si>
    <t>approve the operating model, KPI ownership, data standards, and governance cadence before scaling automation. Release gate: no build-scale decision without Buyer/GovernAI evidence, approved ADRs, source-of-truth decisions and baselined dependencies.</t>
  </si>
  <si>
    <t>Phase 2</t>
  </si>
  <si>
    <t>4–9 months</t>
  </si>
  <si>
    <t>Automate transactions</t>
  </si>
  <si>
    <t>Order and case automation; government-order validation; returns; PO follow-up; device tracking; unified case execution Require approved ICDs, canonical identifiers, retention controls, security design, replay/reconciliation and human exception handling.</t>
  </si>
  <si>
    <t>Automation coverage &gt;80% | Order cycle time -30% | Manual intervention -50%</t>
  </si>
  <si>
    <t>fund the highest-volume automation waves while retaining human exception handling and integration controls. Release gate: no interface automation without approved ownership, tests, reconciliation, retention and exception evidence.</t>
  </si>
  <si>
    <t>Phase 3</t>
  </si>
  <si>
    <t>9–15 months</t>
  </si>
  <si>
    <t>Augment people with AI</t>
  </si>
  <si>
    <t>Customer 360; unified omnichannel history; mentor-bot; mentor-assist; domain/knowledge copilots; AI QA; Governance Copilot Use approved model/RAG inventory, golden-set gates, red-team/privacy/GxP evidence; begin read-only or human-approved.</t>
  </si>
  <si>
    <t>Self-service adoption &gt;35% | Call deflection &gt;30% | Average handle time -20%</t>
  </si>
  <si>
    <t>mandate responsible-AI controls, approved knowledge sources, human-in-the-loop decisions, and measurable adoption. Release gate: no production AI when evaluation, privacy, prohibited-action or escalation evidence is incomplete.</t>
  </si>
  <si>
    <t>Phase 4</t>
  </si>
  <si>
    <t>15–22 months</t>
  </si>
  <si>
    <t>Predict &amp; intervene</t>
  </si>
  <si>
    <t>Contact/workforce forecasting; SLA, CSAT, and sentiment prediction; inventory/revenue intelligence; RCA/CAPA Certify prediction ownership, intervention playbooks, drift/bias thresholds, capacity and rollback before operational reliance.</t>
  </si>
  <si>
    <t>Forecast accuracy &gt;90% | Schedule adherence &gt;95% | Overtime -30%</t>
  </si>
  <si>
    <t>certify data readiness, model performance, and intervention ownership before operational decisions rely on predictions. Release gate: predictions remain advisory until accuracy, drift and intervention-accountability thresholds pass.</t>
  </si>
  <si>
    <t>Phase 5</t>
  </si>
  <si>
    <t>22–33 months</t>
  </si>
  <si>
    <t>Deploy controlled autonomy</t>
  </si>
  <si>
    <t>Complaint/warranty plus workforce, audit, PO, revenue, and inventory agents; identity, lifecycle, registry, observability, risk Sequence low-risk agents first; require agent identity, authority limits, overrides, kill switches and regulated negative tests.</t>
  </si>
  <si>
    <t>Complaint processing time -60% | Manual touches -70% | Complaint intake accuracy &gt;99%</t>
  </si>
  <si>
    <t>define autonomy boundaries, accountable owners, approval thresholds, kill switches, and evidence requirements for every agent. Release gate: approve each agent and authority boundary separately; regulated decisions remain human-owned.</t>
  </si>
  <si>
    <t>Phase 6</t>
  </si>
  <si>
    <t>33–42 months</t>
  </si>
  <si>
    <t>Orchestrate autonomous enterprise</t>
  </si>
  <si>
    <t>Command center; Knowledge Brain; self-healing; autonomous reporting and order orchestration; multi-agent optimization Scale only proven agents; add RTO/RPO, failover, degraded mode, self-healing verification and continuous controls.</t>
  </si>
  <si>
    <t>Enterprise automation rate &gt;75% | Autonomous process completion &gt;85% | Agent availability &gt;99.9%</t>
  </si>
  <si>
    <t>establish enterprise command, resilience, knowledge, and governance platforms before scaling autonomy across functions. Release gate: enterprise scale requires tested resilience, auditability, recoverability and executive authorization.</t>
  </si>
  <si>
    <t>EXECUTIVE DECISION AGENDA</t>
  </si>
  <si>
    <t>Approve sequencing</t>
  </si>
  <si>
    <t>Do not accelerate autonomy ahead of data, process, security, and governance maturity.</t>
  </si>
  <si>
    <t>Fund reusable platforms</t>
  </si>
  <si>
    <t>Prioritize shared workflow, integration, knowledge, observability, and governance capabilities.</t>
  </si>
  <si>
    <t>Gate by evidence</t>
  </si>
  <si>
    <t>Use KPI performance, audit evidence, adoption, risk acceptance, and exit criteria at each phase boundary.</t>
  </si>
  <si>
    <t>Protect human accountability</t>
  </si>
  <si>
    <t>Retain named business owners, escalation routes, intervention controls, and decision traceability.</t>
  </si>
  <si>
    <t>Measure value realization</t>
  </si>
  <si>
    <t>Track effort reduction, cycle time, quality, customer outcomes, risk reduction, and capacity released.</t>
  </si>
  <si>
    <t>UNIFIED CUSTOMER VIEW — INCREMENTAL MATURITY</t>
  </si>
  <si>
    <t>How the roadmap builds a unified view of customer interaction history across all channels, phase by phase</t>
  </si>
  <si>
    <t>Story in brief: The unified view is not a single Phase 3 feature; it is a cumulative enterprise capability. Phases 1–2 create governed reporting, knowledge, case, order-status, and communication records. Phase 3 explicitly unifies channels, customer context, and conversation history. Phases 4–6 progressively use that history for prediction, agentic execution, and autonomous optimization while preserving governance and traceability. Consulting Flows adds explicit persona journeys for clinical product selection, account and order administration, relationship management, customer service, and patient education/warranty support.</t>
  </si>
  <si>
    <t>MATURITY PATH</t>
  </si>
  <si>
    <t>Interaction foundation</t>
  </si>
  <si>
    <t>Unified-view increment</t>
  </si>
  <si>
    <t>Business impact</t>
  </si>
  <si>
    <t>Source evidence</t>
  </si>
  <si>
    <t>0–4m</t>
  </si>
  <si>
    <t>Standardized customer reporting and enterprise knowledge base</t>
  </si>
  <si>
    <t>Creates governed definitions, reusable knowledge, and a common reporting baseline</t>
  </si>
  <si>
    <t>Consistent visibility and reduced knowledge dependency</t>
  </si>
  <si>
    <t>PHASE 1 OPERATIONAL FOUNDATION' rows 12, 44, 84</t>
  </si>
  <si>
    <t>4–9m</t>
  </si>
  <si>
    <t>Order-status portal, customer engagement portal, case tracking, and multi-channel notifications</t>
  </si>
  <si>
    <t>Digitizes customer touchpoints and links operational status to cases and communications</t>
  </si>
  <si>
    <t>Faster response, traceability, and transparent status updates</t>
  </si>
  <si>
    <t>PHASE 2 PROCESS AUTOMATION' rows 8–9, 39–40, 88</t>
  </si>
  <si>
    <t>9–15m</t>
  </si>
  <si>
    <t>Omnichannel Interaction Hub, Customer 360 Profile, and Unified Conversation Repository</t>
  </si>
  <si>
    <t>Explicitly consolidates chat, web, email, WhatsApp, voice, customer history, and channel history</t>
  </si>
  <si>
    <t>Continuity across channels, personalized service, and interaction analytics</t>
  </si>
  <si>
    <t>PHASE 3 AI ENABLED OPERATIONS' rows 6, 8–9, 66, 72</t>
  </si>
  <si>
    <t>15–22m</t>
  </si>
  <si>
    <t>Customer Experience Dataset and Customer Predictor</t>
  </si>
  <si>
    <t>Uses unified interaction history to predict dissatisfaction, complaints, SLA risk, and intervention needs</t>
  </si>
  <si>
    <t>Proactive retention and fewer customer-impacting failures</t>
  </si>
  <si>
    <t>PHASE 4 PREDICTIVE OPERATIONS' rows 36, 43, 108</t>
  </si>
  <si>
    <t>22–33m</t>
  </si>
  <si>
    <t>Customer Engagement Agent, historical-case analysis, and multi-agent collaboration</t>
  </si>
  <si>
    <t>Makes unified context actionable for complaint, warranty, escalation, and follow-up agents</t>
  </si>
  <si>
    <t>Fewer manual touches and faster end-to-end resolution</t>
  </si>
  <si>
    <t>PHASE 5 AGENTIC OPERATIONS' rows 10–11, 37, 99</t>
  </si>
  <si>
    <t>33–42m</t>
  </si>
  <si>
    <t>Enterprise Knowledge Brain, Context Service, Customer Agent, and orchestration</t>
  </si>
  <si>
    <t>Provides persistent trusted context to every agent, workflow, dashboard, and decision process</t>
  </si>
  <si>
    <t>Autonomous, consistent, traceable customer operations at enterprise scale</t>
  </si>
  <si>
    <t>PHASE 6 AUTONOMOUS ENTERPRISE' rows 48–55, 104</t>
  </si>
  <si>
    <t>Executive takeaway: treat the unified customer interaction history as a governed data product spanning identity, channels, cases, orders, warranties, knowledge, consent, access control, retention, and auditability—not as a standalone chatbot feature.</t>
  </si>
  <si>
    <t>KPI PROGRESSION — FROM VISIBILITY TO AUTONOMY</t>
  </si>
  <si>
    <t>Phase-specific targets showing how unified customer history improves measurement, continuity, prediction, resolution, and prevention</t>
  </si>
  <si>
    <t>Measurement note: these are phase-specific targets, not a single like-for-like time series. Together they show the maturity progression enabled by increasingly unified customer and interaction data. Persona journey measures from Consulting Flows are maintained as an additive KPI framework alongside the existing phase targets.</t>
  </si>
  <si>
    <t>KPI AND VALUE PROGRESSION</t>
  </si>
  <si>
    <t>Stated KPI targets</t>
  </si>
  <si>
    <t>Unified-view contribution</t>
  </si>
  <si>
    <t>Outcome progression</t>
  </si>
  <si>
    <t>Source</t>
  </si>
  <si>
    <t>Customer Reporting Availability 100%; Knowledge Articles Coverage &gt;95%</t>
  </si>
  <si>
    <t>Establishes measurable customer reporting and governed knowledge</t>
  </si>
  <si>
    <t>Visibility and consistency</t>
  </si>
  <si>
    <t>Phase 1 KPI rows 24 and 57</t>
  </si>
  <si>
    <t>Complaint Intake SLA &gt;99%; Case Routing Accuracy &gt;98%</t>
  </si>
  <si>
    <t>Captures timely, traceable cases and routes them consistently</t>
  </si>
  <si>
    <t>Digitized service execution</t>
  </si>
  <si>
    <t>Phase 2 KPI rows 44–45</t>
  </si>
  <si>
    <t>Omnichannel Continuity &gt;95%; Interaction Analytics Availability &gt;99%; CSAT &gt;90%</t>
  </si>
  <si>
    <t>Unifies channel history and makes interaction context available to agents and analytics</t>
  </si>
  <si>
    <t>Cross-channel continuity and insight</t>
  </si>
  <si>
    <t>Phase 3 KPI rows 16, 21, 83</t>
  </si>
  <si>
    <t>Customer Complaints -25%; Predictive Alert Accuracy &gt;85%; Proactive Intervention Success &gt;80%</t>
  </si>
  <si>
    <t>Uses consolidated history to identify customer and SLA risk before failure</t>
  </si>
  <si>
    <t>Prediction and prevention</t>
  </si>
  <si>
    <t>Phase 4 KPI rows 53–56</t>
  </si>
  <si>
    <t>Customer Satisfaction &gt;95%; Autonomous Resolution Rate &gt;60%; Manual Touches -70%</t>
  </si>
  <si>
    <t>Lets governed agents act on complete case, conversation, and customer context</t>
  </si>
  <si>
    <t>Faster autonomous resolution</t>
  </si>
  <si>
    <t>Phase 5 KPI rows 20, 24–25</t>
  </si>
  <si>
    <t>Customer-Impacting Incidents -75%; Knowledge Accuracy &gt;99%; Knowledge Freshness &gt;95%</t>
  </si>
  <si>
    <t>Supplies trusted persistent context across agents and self-healing workflows</t>
  </si>
  <si>
    <t>Enterprise-scale prevention and optimization</t>
  </si>
  <si>
    <t>Phase 6 KPI rows 59, 61, 90</t>
  </si>
  <si>
    <t>EXECUTIVE INTERPRETATION</t>
  </si>
  <si>
    <t>The value shifts from knowing what happened (Phases 1–2), to understanding the full customer journey (Phase 3), anticipating what will happen (Phase 4), taking governed action (Phase 5), and continuously preventing customer impact (Phase 6). The KPI architecture should therefore preserve shared identifiers and lineage across channels, cases, orders, warranties, knowledge, predictions, and agent actions.</t>
  </si>
  <si>
    <t>OPPORTUNITY ALIGNMENT — ROADMAP CHANGES</t>
  </si>
  <si>
    <t>Opportunity catalogue reviewed across all 282 rows and incorporated into the six detailed phases and executive summaries Consulting Flows is an additional source for persona journeys and Mentor Direct MVP coverage.</t>
  </si>
  <si>
    <t>The review strengthens the roadmap in three areas: earlier customer and case foundations, explicit transaction-automation opportunities in Phase 2, and a fuller progression from copilots and predictive intelligence to governed digital workers and autonomous orchestration. Existing phase controls remain in force; these inclusions add traceable actions, KPI impact, and executive gates.</t>
  </si>
  <si>
    <t>PHASE-ALIGNED OPPORTUNITY INCLUSIONS</t>
  </si>
  <si>
    <t>Key additions from Opportunity</t>
  </si>
  <si>
    <t>Expected value / KPI impact</t>
  </si>
  <si>
    <t>Immediate action</t>
  </si>
  <si>
    <t>Priority linkage</t>
  </si>
  <si>
    <t>Detailed phase location</t>
  </si>
  <si>
    <t>Unified case-management design; single-customer-view blueprint; dynamic routing foundation; reporting automation</t>
  </si>
  <si>
    <t>Customer reporting 100%; reporting accuracy &gt;99%; establish FCR/AHT/ASA baselines</t>
  </si>
  <si>
    <t>Approve identifiers, data ownership, target flows, skills, queues, and reporting standards; approve ADRs, SoR, source hierarchy, safety/model baseline and R1–R10 dependency plan</t>
  </si>
  <si>
    <t>Buyer/GovernAI evidence; approved ADR set; signed source-of-truth and KPI ownership matrices; baselined R1–R10 plan.</t>
  </si>
  <si>
    <t>Foundation for Year 1 and P1 initiatives</t>
  </si>
  <si>
    <t>PHASE 1 rows 101–107</t>
  </si>
  <si>
    <t>Order entry; government-order validation; returns; PO follow-up; device tracking; unified case implementation</t>
  </si>
  <si>
    <t>70–90% order automation potential; complaint intake &gt;99%; routing &gt;98%; device accuracy &gt;99%</t>
  </si>
  <si>
    <t>Build rules, integrations, OCR, exception queues, reminders, and evidence controls; approve ICDs, retention/security controls, replay and reconciliation evidence</t>
  </si>
  <si>
    <t>Approved ICDs; &gt;80% tested automation coverage; evidence-linked HITL, rollback, reconciliation and retention controls.</t>
  </si>
  <si>
    <t>Order and complaint automation are P1</t>
  </si>
  <si>
    <t>PHASE 2 rows 126–133</t>
  </si>
  <si>
    <t>Customer 360; unified interaction history; mentor-bot; mentor-assist; domain copilots; knowledge, QA, and governance copilots</t>
  </si>
  <si>
    <t>Omnichannel &gt;95%; AHT -15% to -30%; FCR +10% to +20%; QA 100%; reporting effort -70% to -90%</t>
  </si>
  <si>
    <t>Unify identity/history, ground AI in approved knowledge, and deploy feedback and escalation controls; approve model inventory, retrieval, golden set, red-team, privacy and prohibited-action tests</t>
  </si>
  <si>
    <t>Approved model/retrieval baseline; &gt;90% quality thresholds; failed evaluations block release; complete audit and escalation evidence.</t>
  </si>
  <si>
    <t>Chatbot, agent assist, and knowledge copilot are P1</t>
  </si>
  <si>
    <t>PHASE 3 rows 177–185</t>
  </si>
  <si>
    <t>Contact and attrition forecasting; SLA and CSAT prediction; sentiment; inventory intelligence; revenue leakage; RCA/CAPA</t>
  </si>
  <si>
    <t>Forecast &gt;90%; SLA breaches -50%; complaints -25%; proactive intervention &gt;80%</t>
  </si>
  <si>
    <t>Certify datasets, prediction horizons, thresholds, interventions, model monitoring, and SME validation; define intervention owners, drift/bias, capacity and rollback thresholds</t>
  </si>
  <si>
    <t>Forecast &gt;90%; predictive alerts &gt;85%; named intervention owners; monitored drift, rollback and benefit evidence.</t>
  </si>
  <si>
    <t>SLA, inventory, and workforce models are P2</t>
  </si>
  <si>
    <t>PHASE 4 rows 159–167</t>
  </si>
  <si>
    <t>AI Workforce and Audit Managers; autonomous PO, revenue, and inventory agents; agent identity, lifecycle, registry, observability, and risk</t>
  </si>
  <si>
    <t>Autonomous resolution &gt;60%; manual touches -70%; earlier risk detection and financial control</t>
  </si>
  <si>
    <t>Define agent identities, decision rights, limits, telemetry, overrides, kill switches, and incident response; begin low-risk agents and approve identity, limits, overrides and kill switches per agent</t>
  </si>
  <si>
    <t>Per-agent approval; &gt;60% governed resolution in eligible flows; -70% manual touches; near-zero control violations.</t>
  </si>
  <si>
    <t>Audit and autonomous processing are P3</t>
  </si>
  <si>
    <t>PHASE 5 rows 160–168</t>
  </si>
  <si>
    <t>AI Operations Command Center; Knowledge Brain; self-healing; autonomous governance/reporting; order orchestration; enterprise multi-agent operations</t>
  </si>
  <si>
    <t>Automation &gt;75%; autonomous completion &gt;85%; MTTR -70%; customer-impacting incidents -75%</t>
  </si>
  <si>
    <t>Integrate enterprise context, orchestration, remediation, governance, lineage, and continuous optimization; require resilience, recoverability, continuous controls and executive scale authorization</t>
  </si>
  <si>
    <t>&gt;85% eligible autonomous completion; &gt;99.9% availability; tested recovery; traceable decisions; executive approval to scale.</t>
  </si>
  <si>
    <t>Autonomous order orchestration is P4</t>
  </si>
  <si>
    <t>PHASE 6 rows 171–179</t>
  </si>
  <si>
    <t>TRANSFORMATION VALUE PRIORITIES</t>
  </si>
  <si>
    <t>Priority</t>
  </si>
  <si>
    <t>Initiatives</t>
  </si>
  <si>
    <t>Complexity</t>
  </si>
  <si>
    <t>Benefit</t>
  </si>
  <si>
    <t>Roadmap placement</t>
  </si>
  <si>
    <t>Management implication</t>
  </si>
  <si>
    <t>Opportunity source</t>
  </si>
  <si>
    <t>P1</t>
  </si>
  <si>
    <t>Order entry automation; complaint intake automation; Agent Assist; chatbot; Knowledge Copilot</t>
  </si>
  <si>
    <t>Low–Medium</t>
  </si>
  <si>
    <t>High–Very High</t>
  </si>
  <si>
    <t>Phases 2–3</t>
  </si>
  <si>
    <t>Accelerate after Phase 1 controls; measure adoption and released capacity</t>
  </si>
  <si>
    <t>Opportunity rows 247–251</t>
  </si>
  <si>
    <t>P2</t>
  </si>
  <si>
    <t>SLA prediction; inventory prediction; workforce forecasting; Governance Copilot</t>
  </si>
  <si>
    <t>Medium–High</t>
  </si>
  <si>
    <t>Phases 3–4</t>
  </si>
  <si>
    <t>Fund reusable data/model platforms and intervention workflows</t>
  </si>
  <si>
    <t>Opportunity rows 252–255</t>
  </si>
  <si>
    <t>P3</t>
  </si>
  <si>
    <t>Agentic Audit Manager; autonomous warranty processing</t>
  </si>
  <si>
    <t>High</t>
  </si>
  <si>
    <t>Very High</t>
  </si>
  <si>
    <t>Require agent identity, evidence, human appeal, and override controls</t>
  </si>
  <si>
    <t>Opportunity rows 256–257</t>
  </si>
  <si>
    <t>P4</t>
  </si>
  <si>
    <t>Autonomous order orchestration</t>
  </si>
  <si>
    <t>Transformational</t>
  </si>
  <si>
    <t>Proceed only after multi-agent governance, resilience, and cross-domain authority mature</t>
  </si>
  <si>
    <t>Opportunity row 258</t>
  </si>
  <si>
    <t>Executive takeaway: prioritize the P1 portfolio for near-term value, but build shared customer identity, case history, knowledge, integration, control evidence, and governance foundations once. Those reusable assets are what enable the later predictive and agentic deltas without creating fragmented automation.</t>
  </si>
  <si>
    <t>UNIFIED CUSTOMER VIEW KPI DASHBOARD</t>
  </si>
  <si>
    <t>Six-phase targets and enabling actions for a unified view of customer interaction history across all channels</t>
  </si>
  <si>
    <t>The KPI journey progresses from governed reporting and knowledge, to digitized cases, explicit omnichannel continuity, predictive intervention, agentic resolution, and autonomous prevention. “—” means the detailed phase does not state a numeric target for that metric. The role/persona dashboards provide corresponding Surgeon, Office Manager, Sales Rep, CSR, and Patient measures from Consulting Flows.</t>
  </si>
  <si>
    <t>EXPECTED IMPROVEMENT BY PHASE</t>
  </si>
  <si>
    <t>Metric / KPI</t>
  </si>
  <si>
    <t>Phase 1
0–4m</t>
  </si>
  <si>
    <t>Phase 2
4–9m</t>
  </si>
  <si>
    <t>Phase 3
9–15m</t>
  </si>
  <si>
    <t>Phase 4
15–22m</t>
  </si>
  <si>
    <t>Phase 5
22–33m</t>
  </si>
  <si>
    <t>Phase 6
33–42m</t>
  </si>
  <si>
    <t>Customer reporting availability</t>
  </si>
  <si>
    <t>Maintain</t>
  </si>
  <si>
    <t>Feeds unified view</t>
  </si>
  <si>
    <t>Feeds prediction</t>
  </si>
  <si>
    <t>Agent-accessible</t>
  </si>
  <si>
    <t>Enterprise-wide</t>
  </si>
  <si>
    <t>Knowledge coverage / accuracy</t>
  </si>
  <si>
    <t>&gt;95% coverage</t>
  </si>
  <si>
    <t>Maintain governed base</t>
  </si>
  <si>
    <t>&gt;90% search success</t>
  </si>
  <si>
    <t>Model input</t>
  </si>
  <si>
    <t>Grounded agents</t>
  </si>
  <si>
    <t>&gt;99% accuracy; &gt;95% freshness</t>
  </si>
  <si>
    <t>Complaint intake SLA</t>
  </si>
  <si>
    <t>&gt;99%</t>
  </si>
  <si>
    <t>Risk signal</t>
  </si>
  <si>
    <t>Near real-time intake</t>
  </si>
  <si>
    <t>Autonomous monitoring</t>
  </si>
  <si>
    <t>Case routing accuracy</t>
  </si>
  <si>
    <t>&gt;98%</t>
  </si>
  <si>
    <t>AI-assisted</t>
  </si>
  <si>
    <t>&gt;85% predictive alerts</t>
  </si>
  <si>
    <t>&gt;98% agentic routing</t>
  </si>
  <si>
    <t>Orchestrated routing</t>
  </si>
  <si>
    <t>Omnichannel continuity</t>
  </si>
  <si>
    <t>Channels inventoried</t>
  </si>
  <si>
    <t>Touchpoints digitized</t>
  </si>
  <si>
    <t>&gt;95%</t>
  </si>
  <si>
    <t>Predictive context</t>
  </si>
  <si>
    <t>Agent context</t>
  </si>
  <si>
    <t>Persistent context</t>
  </si>
  <si>
    <t>Interaction analytics availability</t>
  </si>
  <si>
    <t>Reporting baseline</t>
  </si>
  <si>
    <t>Case/status data</t>
  </si>
  <si>
    <t xml:space="preserve"> &gt;99%</t>
  </si>
  <si>
    <t>Predictive dataset</t>
  </si>
  <si>
    <t>Agent telemetry</t>
  </si>
  <si>
    <t>Enterprise intelligence</t>
  </si>
  <si>
    <t>Customer satisfaction</t>
  </si>
  <si>
    <t>Measured</t>
  </si>
  <si>
    <t>+10% target</t>
  </si>
  <si>
    <t>&gt;90%</t>
  </si>
  <si>
    <t>Complaints -25%</t>
  </si>
  <si>
    <t>Customer-impacting incidents -75%</t>
  </si>
  <si>
    <t>Autonomous resolution / intervention</t>
  </si>
  <si>
    <t>Not applicable</t>
  </si>
  <si>
    <t>Workflow automation</t>
  </si>
  <si>
    <t>Human-assisted AI</t>
  </si>
  <si>
    <t>&gt;80% proactive intervention</t>
  </si>
  <si>
    <t>&gt;60% autonomous resolution</t>
  </si>
  <si>
    <t>&gt;85% autonomous process completion</t>
  </si>
  <si>
    <t>Manual intervention / customer effort</t>
  </si>
  <si>
    <t>Baseline measured</t>
  </si>
  <si>
    <t>-50% manual intervention</t>
  </si>
  <si>
    <t>30–50% fewer routine contacts</t>
  </si>
  <si>
    <t>Proactive prevention</t>
  </si>
  <si>
    <t>-70% manual touches</t>
  </si>
  <si>
    <t>&lt;20% manual intervention</t>
  </si>
  <si>
    <t>Service availability / continuity</t>
  </si>
  <si>
    <t>&gt;99.5% platform availability</t>
  </si>
  <si>
    <t>Automated tracking</t>
  </si>
  <si>
    <t>&gt;99% self-service availability</t>
  </si>
  <si>
    <t>&gt;99.5% service availability</t>
  </si>
  <si>
    <t>Governed agent operations</t>
  </si>
  <si>
    <t>&gt;99.9% agent availability</t>
  </si>
  <si>
    <t>ACTIONS ENABLING THE INCREMENTAL DELTA</t>
  </si>
  <si>
    <t>Identity &amp; data foundation</t>
  </si>
  <si>
    <t>Define customer identifiers, data owners, and reporting standards</t>
  </si>
  <si>
    <t>Link order, complaint, warranty, asset, and communication records</t>
  </si>
  <si>
    <t>Create Customer 360 profile and identity/context service</t>
  </si>
  <si>
    <t>Build governed customer-experience dataset</t>
  </si>
  <si>
    <t>Expose trusted context to approved agents</t>
  </si>
  <si>
    <t>Federate identity and context through enterprise knowledge brain</t>
  </si>
  <si>
    <t>Channel integration</t>
  </si>
  <si>
    <t>Inventory voice, email, web, and service channels</t>
  </si>
  <si>
    <t>Digitize intake, status, notifications, and case tracking</t>
  </si>
  <si>
    <t>Integrate chat, web, email, WhatsApp, and voice in omnichannel hub</t>
  </si>
  <si>
    <t>Stream cross-channel signals into prediction models</t>
  </si>
  <si>
    <t>Let engagement agents act consistently across channels</t>
  </si>
  <si>
    <t>Orchestrate channels and agents through command center</t>
  </si>
  <si>
    <t>Interaction history</t>
  </si>
  <si>
    <t>Standardize reporting definitions and retention</t>
  </si>
  <si>
    <t>Persist case, status, and communication events</t>
  </si>
  <si>
    <t>Deploy unified conversation repository and interaction history store</t>
  </si>
  <si>
    <t>Engineer history features for risk and propensity models</t>
  </si>
  <si>
    <t>Provide historical-case context to agents</t>
  </si>
  <si>
    <t>Maintain persistent, traceable enterprise context</t>
  </si>
  <si>
    <t>Knowledge &amp; guidance</t>
  </si>
  <si>
    <t>Create governed knowledge base and article ownership</t>
  </si>
  <si>
    <t>Embed approved rules and communications</t>
  </si>
  <si>
    <t>Connect RAG to approved SOPs, policies, FAQs, and cases</t>
  </si>
  <si>
    <t>Monitor knowledge quality and model drift</t>
  </si>
  <si>
    <t>Ground every agent action in approved knowledge</t>
  </si>
  <si>
    <t>Measure knowledge accuracy, freshness, reuse, and lineage</t>
  </si>
  <si>
    <t>Workflow &amp; intervention</t>
  </si>
  <si>
    <t>Set ownership, SLA, and escalation rules</t>
  </si>
  <si>
    <t>Automate routing, release, notifications, and exceptions</t>
  </si>
  <si>
    <t>Provide next-best actions with human escalation</t>
  </si>
  <si>
    <t>Trigger proactive intervention from customer/SLA risk</t>
  </si>
  <si>
    <t>Use approval thresholds, kill switches, and exception queues</t>
  </si>
  <si>
    <t>Enable self-healing with human intervention mechanisms</t>
  </si>
  <si>
    <t>Measurement &amp; governance</t>
  </si>
  <si>
    <t>Baseline reporting, knowledge, SLA, and customer metrics</t>
  </si>
  <si>
    <t>Track automation, intake, routing, cycle time, and accuracy</t>
  </si>
  <si>
    <t>Measure continuity, analytics availability, adoption, CSAT, and AI quality</t>
  </si>
  <si>
    <t>Validate alert accuracy and intervention success</t>
  </si>
  <si>
    <t>Audit autonomous resolution, agent decisions, and customer outcomes</t>
  </si>
  <si>
    <t>Govern enterprise KPI lineage, autonomous decisions, and customer impact</t>
  </si>
  <si>
    <t>Direction convention: positive targets increase availability, accuracy, continuity, satisfaction, and resolution; negative targets reduce time, complaints, incidents, manual touches, and customer effort. Maintain targets should remain at or above the prior phase’s achieved control level.</t>
  </si>
  <si>
    <t>EXECUTIVE KPI DASHBOARD</t>
  </si>
  <si>
    <t>Headline operational, customer, automation, AI, predictive, and autonomy targets across the six-phase roadmap</t>
  </si>
  <si>
    <t>This dashboard separates the expected performance delta from the management actions required to unlock it. Targets are drawn from the detailed phase KPI frameworks; qualitative cells describe the intended maturity transition where no like-for-like target is stated. Consulting Flows supplements these enterprise measures with persona-level journey metrics and does not replace existing targets.</t>
  </si>
  <si>
    <t>Visibility &amp; reporting</t>
  </si>
  <si>
    <t>100% report availability; &gt;99% accuracy</t>
  </si>
  <si>
    <t>Automated status and monitoring</t>
  </si>
  <si>
    <t xml:space="preserve"> &gt;99% interaction analytics availability</t>
  </si>
  <si>
    <t>Predictive dashboards</t>
  </si>
  <si>
    <t>Agent telemetry and audit</t>
  </si>
  <si>
    <t>Executive command center</t>
  </si>
  <si>
    <t>SLA &amp; service reliability</t>
  </si>
  <si>
    <t>&gt;95% SLA compliance</t>
  </si>
  <si>
    <t>Complaint intake &gt;99%</t>
  </si>
  <si>
    <t>Self-service availability &gt;99%</t>
  </si>
  <si>
    <t>SLA breaches -50%; availability &gt;99.5%</t>
  </si>
  <si>
    <t>Agentic SLA execution</t>
  </si>
  <si>
    <t>SLA achievement &gt;99%</t>
  </si>
  <si>
    <t>Processing speed</t>
  </si>
  <si>
    <t>Baseline cycle time</t>
  </si>
  <si>
    <t>Order cycle time -30%</t>
  </si>
  <si>
    <t>AHT -20%; ASA -25%</t>
  </si>
  <si>
    <t>Proactive intervention &gt;80%</t>
  </si>
  <si>
    <t>Complaint time -60%; resolution -50%</t>
  </si>
  <si>
    <t>MTTR -70%</t>
  </si>
  <si>
    <t>Accuracy &amp; quality</t>
  </si>
  <si>
    <t>&gt;99% reporting accuracy</t>
  </si>
  <si>
    <t>Processing accuracy +20%; routing &gt;98%</t>
  </si>
  <si>
    <t>Query accuracy &gt;90%; QA coverage 100%</t>
  </si>
  <si>
    <t>Predictive alert accuracy &gt;85%</t>
  </si>
  <si>
    <t>Intake &gt;99%; classification &gt;98%</t>
  </si>
  <si>
    <t>Knowledge &gt;99%; defects -60%</t>
  </si>
  <si>
    <t>Automation &amp; autonomy</t>
  </si>
  <si>
    <t>Governed foundation</t>
  </si>
  <si>
    <t>&gt;80% coverage; manual intervention -50%</t>
  </si>
  <si>
    <t>Predictive actions</t>
  </si>
  <si>
    <t>Manual touches -70%; autonomous resolution &gt;60%</t>
  </si>
  <si>
    <t>&gt;75% enterprise automation; &gt;85% autonomous completion</t>
  </si>
  <si>
    <t>Customer outcomes</t>
  </si>
  <si>
    <t>100% customer reporting availability</t>
  </si>
  <si>
    <t>CSAT +10%</t>
  </si>
  <si>
    <t>CSAT &gt;90%; call deflection &gt;30%</t>
  </si>
  <si>
    <t>Customer complaints -25%</t>
  </si>
  <si>
    <t>&gt;95% customer satisfaction</t>
  </si>
  <si>
    <t>Workforce effectiveness</t>
  </si>
  <si>
    <t>100% utilization visibility</t>
  </si>
  <si>
    <t>Throughput +25%</t>
  </si>
  <si>
    <t>Agent productivity +20%</t>
  </si>
  <si>
    <t>Forecast &gt;90%; overtime -30%; adherence &gt;95%</t>
  </si>
  <si>
    <t>Digital workforce deployment</t>
  </si>
  <si>
    <t>Digital workforce productivity +50%</t>
  </si>
  <si>
    <t>Risk &amp; compliance</t>
  </si>
  <si>
    <t>&gt;90% governance closure</t>
  </si>
  <si>
    <t>Automated evidence and validation</t>
  </si>
  <si>
    <t xml:space="preserve"> &gt;95% compliance coverage</t>
  </si>
  <si>
    <t>Commercial loss -50%</t>
  </si>
  <si>
    <t>Near-zero compliance violations</t>
  </si>
  <si>
    <t>Near-zero compliance exceptions</t>
  </si>
  <si>
    <t>Knowledge maturity</t>
  </si>
  <si>
    <t>&gt;95% article coverage</t>
  </si>
  <si>
    <t>Knowledge embedded in workflows</t>
  </si>
  <si>
    <t>&gt;90% search success and approved RAG</t>
  </si>
  <si>
    <t>Context for prediction</t>
  </si>
  <si>
    <t>Grounded agent decisions</t>
  </si>
  <si>
    <t>Operational resilience</t>
  </si>
  <si>
    <t>Exception monitoring and fallback</t>
  </si>
  <si>
    <t>Human escalation and AI guardrails</t>
  </si>
  <si>
    <t>Early-warning intervention</t>
  </si>
  <si>
    <t>Approval checkpoints and kill switches</t>
  </si>
  <si>
    <t>&gt;85% self-healing success</t>
  </si>
  <si>
    <t>EXECUTIVE ACTIONS ENABLING THE DELTA</t>
  </si>
  <si>
    <t>Governance gate</t>
  </si>
  <si>
    <t>Approve KPI owners, operating model, data standards, and service governance</t>
  </si>
  <si>
    <t>Approve automation design authority, controls, and evidence requirements</t>
  </si>
  <si>
    <t>Approve AI use cases, models, knowledge, privacy, and human oversight</t>
  </si>
  <si>
    <t>Approve model validation, drift, intervention, and risk thresholds</t>
  </si>
  <si>
    <t>Approve autonomy boundaries, accountable owners, and agent controls</t>
  </si>
  <si>
    <t>Approve enterprise command, resilience, and autonomous governance model</t>
  </si>
  <si>
    <t>Platform investment</t>
  </si>
  <si>
    <t>Fund dashboards, reporting, SLA, workforce, knowledge, and governance platforms</t>
  </si>
  <si>
    <t>Fund workflow, RPA, OCR, integration, rules, and exception platforms</t>
  </si>
  <si>
    <t>Fund omnichannel, Customer 360, RAG, agent assist, and AI-QA platforms</t>
  </si>
  <si>
    <t>Fund forecasting, predictive risk, digital twin, and model operations</t>
  </si>
  <si>
    <t>Fund agent platforms, orchestration, identity, observability, and audit</t>
  </si>
  <si>
    <t>Fund command center, knowledge brain, self-healing, and executive intelligence</t>
  </si>
  <si>
    <t>Data action</t>
  </si>
  <si>
    <t>Create common definitions, ownership, quality controls, and baselines</t>
  </si>
  <si>
    <t>Integrate ERP/CRM and digitize transaction/event data</t>
  </si>
  <si>
    <t>Unify interaction, customer, channel, and knowledge data</t>
  </si>
  <si>
    <t>Enrich history and certify predictive datasets</t>
  </si>
  <si>
    <t>Provide trusted context and memory to agents</t>
  </si>
  <si>
    <t>Federate enterprise context with full lineage and traceability</t>
  </si>
  <si>
    <t>Adoption action</t>
  </si>
  <si>
    <t>Establish governance cadence and role accountability</t>
  </si>
  <si>
    <t>Train users and redesign exception-based work</t>
  </si>
  <si>
    <t>Drive self-service and agent-assist adoption with feedback loops</t>
  </si>
  <si>
    <t>Embed predictions into frontline decision workflows</t>
  </si>
  <si>
    <t>Redesign roles for supervised digital workforce operations</t>
  </si>
  <si>
    <t>Operate humans and digital workers through enterprise orchestration</t>
  </si>
  <si>
    <t>Value assurance</t>
  </si>
  <si>
    <t>Baseline performance and establish benefits tracking</t>
  </si>
  <si>
    <t>Prioritize high-volume use cases and measure released capacity</t>
  </si>
  <si>
    <t>Track adoption, containment, quality, CSAT, and risk</t>
  </si>
  <si>
    <t>Track realized interventions, avoided losses, and forecast value</t>
  </si>
  <si>
    <t>Track autonomous outcomes, overrides, errors, and accountability</t>
  </si>
  <si>
    <t>Track enterprise value, resilience, customer impact, and control effectiveness</t>
  </si>
  <si>
    <t>Executive reading: improvement is cumulative only when prior controls are sustained. A later-phase target should not replace foundational SLA, quality, knowledge, security, and governance controls—it should build on them.</t>
  </si>
  <si>
    <t>ROLE / PERSONA-WISE KPI DASHBOARD</t>
  </si>
  <si>
    <t>Core measures for all 16 defined roles and personas, with ownership focus from foundation to autonomy</t>
  </si>
  <si>
    <t>Consulting Flows adds surgeon, office-manager, sales-representative, CSR, and patient journeys to the operating-role view. Accountability evolves toward unified context, proactive intervention, governed self-service, exception management, data stewardship, and agent oversight.</t>
  </si>
  <si>
    <t>ROLE SCORECARD METRICS</t>
  </si>
  <si>
    <t>Role</t>
  </si>
  <si>
    <t>Primary metrics</t>
  </si>
  <si>
    <t>Metric formulas / definitions</t>
  </si>
  <si>
    <t>Enterprise linkage</t>
  </si>
  <si>
    <t>Phase 1–2 focus</t>
  </si>
  <si>
    <t>Phase 3–4 focus</t>
  </si>
  <si>
    <t>Phase 5–6 focus</t>
  </si>
  <si>
    <t>Contact Center Agent – Customer Service</t>
  </si>
  <si>
    <t>Calls handled; AHT; FCR; quality; CSAT; adherence; escalation accuracy</t>
  </si>
  <si>
    <t>AHT=(Talk+Hold+ACW)/Calls; FCR=First-contact resolutions/Cases; CSAT=Positive surveys/Surveys</t>
  </si>
  <si>
    <t>AHT, ASA, FCR, CSAT, Channel QA</t>
  </si>
  <si>
    <t>Accurate capture, SLA, FCR, standardized case work</t>
  </si>
  <si>
    <t>Use Customer 360, omnichannel history, agent assist, and predictive prompts</t>
  </si>
  <si>
    <t>Supervise exceptions; validate agent actions and customer outcomes</t>
  </si>
  <si>
    <t>Contact Center Agent – Field Inventory &amp; Consignment</t>
  </si>
  <si>
    <t>Closure rate; inventory accuracy; notification accuracy; audit timeliness; defect rate</t>
  </si>
  <si>
    <t>Closed/Assigned; Accurate updates/Transactions; On-time tasks/Total tasks</t>
  </si>
  <si>
    <t>Consignment audit, case accuracy, inventory notifications</t>
  </si>
  <si>
    <t>Accurate records, timely notifications, audit support</t>
  </si>
  <si>
    <t>Use lifecycle visibility and predictive inventory alerts</t>
  </si>
  <si>
    <t>Manage exceptions from inventory/retrieval agents</t>
  </si>
  <si>
    <t>Contact Center Agent – Warranty / Complaints / Device Tracking</t>
  </si>
  <si>
    <t>Complaint capture; device accuracy; warranty SLA; data accuracy; escalation compliance</t>
  </si>
  <si>
    <t>Complaints &lt;48h/Total; Accurate entries/Total; Within-SLA cases/Total</t>
  </si>
  <si>
    <t>Complaint intake, device accuracy, warranty SLA</t>
  </si>
  <si>
    <t>Digitize intake and improve traceability</t>
  </si>
  <si>
    <t>Use unified history, AI classification, and risk prediction</t>
  </si>
  <si>
    <t>Review autonomous complaint/warranty exceptions</t>
  </si>
  <si>
    <t>Back Office Agent – Customer Service</t>
  </si>
  <si>
    <t>Orders processed; order accuracy; release timeliness; email SLA; return accuracy</t>
  </si>
  <si>
    <t>Error-free orders/Total; Released within SLA/Processed; Correct returns/Total</t>
  </si>
  <si>
    <t>Productivity, order release, customer experience</t>
  </si>
  <si>
    <t>Execute automated order and return workflows</t>
  </si>
  <si>
    <t>Handle complex exceptions using AI guidance</t>
  </si>
  <si>
    <t>Supervise autonomous transactions and overrides</t>
  </si>
  <si>
    <t>Back Office Agent – Field Inventory / Consignment</t>
  </si>
  <si>
    <t>Reconciliation; PO collection; resolution; audit readiness; billing accuracy</t>
  </si>
  <si>
    <t>Accurate reconciliations/Total; PO obtained/Pending; Resolved/Assigned</t>
  </si>
  <si>
    <t>Inventory retrieval, PO pending, audit completion</t>
  </si>
  <si>
    <t>Reconcile, retrieve, follow up, and prepare audits</t>
  </si>
  <si>
    <t>Act on forecasts, expiry, and lifecycle risk</t>
  </si>
  <si>
    <t>Manage agent exceptions and control evidence</t>
  </si>
  <si>
    <t>Back Office Agent – Warranty / Complaints / Device Tracking</t>
  </si>
  <si>
    <t>Closure rate; documentation accuracy; complaint SLA; rework rate</t>
  </si>
  <si>
    <t>Closed/Total; Correct records/Reviewed; Within-SLA complaints/Total; Rework/Total</t>
  </si>
  <si>
    <t>Warranty timeliness, complaint intake, case accuracy</t>
  </si>
  <si>
    <t>Standardize and automate case processing</t>
  </si>
  <si>
    <t>Use interaction history, quality AI, and prediction</t>
  </si>
  <si>
    <t>Approve exceptions and monitor autonomous resolution</t>
  </si>
  <si>
    <t>Contact Center Manager (US)</t>
  </si>
  <si>
    <t>Team SLA; FCR; escalation time; coaching; team CSAT</t>
  </si>
  <si>
    <t>SLA met/Total; Escalations within SLA/Total; Coaching completed/Planned</t>
  </si>
  <si>
    <t>Service delivery, customer experience, capability</t>
  </si>
  <si>
    <t>Own team baselines, coaching, SLA, and escalation</t>
  </si>
  <si>
    <t>Manage AI adoption, predicted risk, and performance</t>
  </si>
  <si>
    <t>Supervise digital workforce and customer safeguards</t>
  </si>
  <si>
    <t>Back Office Manager</t>
  </si>
  <si>
    <t>Productivity; accuracy; backlog; SLA; attrition control</t>
  </si>
  <si>
    <t>Completed/Planned; Error-free/Total; Backlog closed/Opened; Retained/Strength</t>
  </si>
  <si>
    <t>Productivity, quality, delivery, workforce</t>
  </si>
  <si>
    <t>Own capacity, backlog, quality, and controls</t>
  </si>
  <si>
    <t>Use forecasting and AI quality to optimize work</t>
  </si>
  <si>
    <t>Govern agent capacity, exceptions, and human workload</t>
  </si>
  <si>
    <t>Operations Manager</t>
  </si>
  <si>
    <t>Overall SLA/KPI; CSAT; leakage prevention; improvement delivery; RCA; escalations</t>
  </si>
  <si>
    <t>SLAs met/Total; KPIs met/Total; Value recovered/Identified; RCA within SLA/Raised</t>
  </si>
  <si>
    <t>Service excellence, financial, governance</t>
  </si>
  <si>
    <t>Own operating model, value baseline, and governance</t>
  </si>
  <si>
    <t>Approve predictive interventions and AI controls</t>
  </si>
  <si>
    <t>Own autonomy boundaries, value realization, and enterprise risk</t>
  </si>
  <si>
    <t>Quality Analyst</t>
  </si>
  <si>
    <t>QA coverage; audit timeliness; defect detection; calibration; CAPA closure</t>
  </si>
  <si>
    <t>Audited/Total; On-time audits/Planned; Defects found/Total; Closed CAPA/Open</t>
  </si>
  <si>
    <t>QA score, case accuracy, continuous improvement</t>
  </si>
  <si>
    <t>Standardize QA and calibration</t>
  </si>
  <si>
    <t>Calibrate AI QA, review 100% analytics, monitor drift</t>
  </si>
  <si>
    <t>Audit agent decisions, controls, and autonomous outcomes</t>
  </si>
  <si>
    <t>Admin Executive</t>
  </si>
  <si>
    <t>Dashboard timeliness; report accuracy; action tracking; data availability</t>
  </si>
  <si>
    <t>On-time reports/Planned; Correct reports/Total; Actions closed/Total</t>
  </si>
  <si>
    <t>Governance, reporting, operational excellence</t>
  </si>
  <si>
    <t>Publish governed reports and track actions</t>
  </si>
  <si>
    <t>Maintain analytics availability and evidence</t>
  </si>
  <si>
    <t>Operate executive intelligence, KPI lineage, and audit reporting</t>
  </si>
  <si>
    <t>Surgeon</t>
  </si>
  <si>
    <t>Product Information Access Success; Product Selection Accuracy; Order Submission Completeness; Case Readiness Rate; Clinical Support Resolution Rate; Usage Reconciliation Timeliness; Post-Procedure Request Accuracy; Product Issue Reporting Timeliness</t>
  </si>
  <si>
    <t>Successful product/clinical information sessions ÷ Total information sessions; Selections completed without correction ÷ Total selections; Complete orders accepted first pass ÷ Total orders submitted; Cases with confirmed product availability ÷ Total planned cases; Support requests resolved ÷ Total support requests; Cases reconciled within required time ÷ Total completed cases; Requests accepted without rework ÷ Total requests submitted; Issues reported within required time ÷ Total identified issues</t>
  </si>
  <si>
    <t>Product Knowledge; Clinical Accuracy; Order Quality; Procedure Readiness; Clinical Enablement; Post-Procedure Control; Warranty &amp; Compliance; Patient Safety</t>
  </si>
  <si>
    <t>Use governed product, safety, and education content; Submit complete digital case and product requests</t>
  </si>
  <si>
    <t>Use Customer 360 and guided product support; Act on availability, delivery, and case-risk alerts</t>
  </si>
  <si>
    <t>Validate agent recommendations and autonomous follow-up</t>
  </si>
  <si>
    <t>Office Manager</t>
  </si>
  <si>
    <t>Account Update Accuracy; Order First-Pass Acceptance; Commercial Validation Accuracy; Product Availability Rate; On-Time Delivery Visibility; Financial Self-Service Completion; Post-Procedure Case Completion</t>
  </si>
  <si>
    <t>Correct account updates ÷ Total account updates; Orders accepted without correction ÷ Total orders submitted; Orders passing price and PO validation ÷ Total orders reviewed; Requirements available by procedure date ÷ Total requirements; Deliveries with current status available ÷ Total deliveries; Financial requests completed without assisted support ÷ Total requests; Returns/warranty/device cases completed ÷ Total cases initiated</t>
  </si>
  <si>
    <t>Account Management; Order Quality; Commercial Compliance; Inventory Readiness; Fulfillment Visibility; Billing &amp; Payment; Post-Procedure Support</t>
  </si>
  <si>
    <t>Maintain accurate account, order, and inventory data; Use digital ordering, validation, tracking, and case workflows</t>
  </si>
  <si>
    <t>Use unified account history and guided self-service; Act on delivery, inventory, financial, and SLA-risk alerts</t>
  </si>
  <si>
    <t>Oversee autonomous routine transactions and exceptions</t>
  </si>
  <si>
    <t>Sales Rep</t>
  </si>
  <si>
    <t>Account Review Completion; Recommendation Acceptance Rate; Commercial Support Accuracy; Customer Follow-Up SLA; Opportunity Capture Rate; Forecast Accuracy; Retention Action Completion</t>
  </si>
  <si>
    <t>Completed account reviews ÷ Planned account reviews; Accepted product recommendations ÷ Total recommendations; Requests completed without pricing/order rework ÷ Total requests; Follow-ups completed within SLA ÷ Total follow-ups; Qualified opportunities recorded ÷ Total identified opportunities; 1 − ABS(Forecast Volume − Actual Volume) ÷ Actual Volume; Retention actions completed ÷ Planned retention actions</t>
  </si>
  <si>
    <t>Relationship Management; Product Adoption; Commercial Effectiveness; Customer Experience; Growth; Forecasting; Customer Retention</t>
  </si>
  <si>
    <t>Standardize account plans, product knowledge, and follow-up; Use digital quotes, ordering, case status, and alerts</t>
  </si>
  <si>
    <t>Use Customer 360, unified history, and sales assist; Act on churn, demand, whitespace, and service-risk predictions</t>
  </si>
  <si>
    <t>Supervise engagement agents and approve high-impact actions</t>
  </si>
  <si>
    <t>CSR</t>
  </si>
  <si>
    <t>Account Setup Timeliness; Order Entry Accuracy; Validation First-Pass Rate; Order Change Accuracy; Status Response Timeliness; First Contact Resolution; Return Intake Accuracy; Case Capture Accuracy; Financial Inquiry Resolution; Escalation Compliance</t>
  </si>
  <si>
    <t>Accounts completed within SLA ÷ Total account requests; Orders entered without rework ÷ Total orders entered; Orders passing all validations first pass ÷ Total orders validated; Changes completed correctly ÷ Total order changes; Status requests answered within SLA ÷ Total status requests; Inquiries resolved on first contact ÷ Total inquiries; Returns accepted without rework ÷ Total returns initiated; Complete cases accepted first pass ÷ Total cases captured; Financial inquiries resolved ÷ Total financial inquiries; Correct escalations within SLA ÷ Total escalations</t>
  </si>
  <si>
    <t>Customer Onboarding; Order Quality; Order Compliance; Order Management; Service Responsiveness; Customer Experience; Returns &amp; Credits; Complaint &amp; Warranty; Billing Support; Issue Resolution</t>
  </si>
  <si>
    <t>Use standard work, knowledge, and accurate capture; Operate automated intake, validation, routing, and status</t>
  </si>
  <si>
    <t>Use Customer 360, unified history, and mentor-assist; Act on SLA, complaint, sentiment, and demand-risk prompts</t>
  </si>
  <si>
    <t>Handle exceptions and validate autonomous service actions</t>
  </si>
  <si>
    <t>Patient</t>
  </si>
  <si>
    <t>Product Information Access Rate; Surgeon Information Journey Completion; Education Completion Rate; Registration Completion Rate; Patient Request Completeness; Status Visibility Rate</t>
  </si>
  <si>
    <t>Completed product-information sessions ÷ Total sessions started; Completed surgeon-information journeys ÷ Total journeys started; Completed education modules ÷ Total modules started; Completed registrations ÷ Total registrations started; Requests accepted without missing information ÷ Total requests; Cases with current status visible ÷ Total active patient cases</t>
  </si>
  <si>
    <t>Patient Education; Care Navigation; Informed Decision Support; Warranty Registration; Patient Support; Service Transparency</t>
  </si>
  <si>
    <t>Access governed education and support pathways; Use digital registration, request, and status services</t>
  </si>
  <si>
    <t>Receive context-aware knowledge and guided assistance; Receive proactive status and risk communications</t>
  </si>
  <si>
    <t>Use governed self-service with human escalation</t>
  </si>
  <si>
    <t>SIX-PHASE ROLE ACTION PRIORITIES</t>
  </si>
  <si>
    <t>Frontline agents</t>
  </si>
  <si>
    <t>Standard work, accurate capture, knowledge use</t>
  </si>
  <si>
    <t>Adopt automated intake, routing, status, and exceptions</t>
  </si>
  <si>
    <t>Use Customer 360, omnichannel history, and real-time guidance</t>
  </si>
  <si>
    <t>Respond to predictive prompts and prioritized work</t>
  </si>
  <si>
    <t>Validate agent decisions and handle exceptions</t>
  </si>
  <si>
    <t>Supervise autonomous service and protect customer outcomes</t>
  </si>
  <si>
    <t>Back-office agents</t>
  </si>
  <si>
    <t>Standardize transactions and data quality</t>
  </si>
  <si>
    <t>Operate automated workflows and exception queues</t>
  </si>
  <si>
    <t>Use AI guidance and interaction context for complex cases</t>
  </si>
  <si>
    <t>Act on predicted backlog, SLA, inventory, and customer risks</t>
  </si>
  <si>
    <t>Approve exceptions and investigate edge cases</t>
  </si>
  <si>
    <t>Oversee autonomous transactions, remediation, and evidence</t>
  </si>
  <si>
    <t>People managers</t>
  </si>
  <si>
    <t>Baseline SLA, productivity, quality, CSAT, and capacity</t>
  </si>
  <si>
    <t>Drive adoption and redesign work around exceptions</t>
  </si>
  <si>
    <t>Coach AI-assisted performance and manage channel continuity</t>
  </si>
  <si>
    <t>Use forecasts for staffing and proactive intervention</t>
  </si>
  <si>
    <t>Manage human/digital workforce allocation and overrides</t>
  </si>
  <si>
    <t>Govern capacity, resilience, and accountable human control</t>
  </si>
  <si>
    <t>Operations leadership</t>
  </si>
  <si>
    <t>Approve operating model and KPI ownership</t>
  </si>
  <si>
    <t>Prioritize automation portfolio and benefits</t>
  </si>
  <si>
    <t>Approve AI use cases, knowledge, privacy, and adoption</t>
  </si>
  <si>
    <t>Approve model thresholds and intervention ownership</t>
  </si>
  <si>
    <t>Set autonomy limits, accountability, and value gates</t>
  </si>
  <si>
    <t>Run enterprise command, governance, and strategic optimization</t>
  </si>
  <si>
    <t>Quality &amp; governance</t>
  </si>
  <si>
    <t>Set QA, audit, reporting, and evidence standards</t>
  </si>
  <si>
    <t>Automate evidence collection and control monitoring</t>
  </si>
  <si>
    <t>Calibrate AI QA, monitor bias, privacy, and hallucination</t>
  </si>
  <si>
    <t>Validate models, drift, alerts, and intervention outcomes</t>
  </si>
  <si>
    <t>Audit agents, decisions, overrides, and compliance</t>
  </si>
  <si>
    <t>Assure autonomous decisions, lineage, resilience, and board reporting</t>
  </si>
  <si>
    <t>Role accountability does not disappear with automation: transaction volume may decline, but accountability expands toward exception quality, customer protection, data stewardship, model/agent oversight, control evidence, and realized business value.</t>
  </si>
  <si>
    <t>CONTACT CENTER AGENT — CUSTOMER SERVICE</t>
  </si>
  <si>
    <t>Role-wise executive dashboard | Sources: Role_Responsibilities, Customer KPI Dashboard, Executive KPI Dashboard, Unified Customer View, KPI Progression, and Role KPI Dashboard</t>
  </si>
  <si>
    <t>RESPONSIBILITIES</t>
  </si>
  <si>
    <t>Handle inbound voice inquiries, order-status questions, order modifications, customer issue resolution, escalation identification, and first-contact resolution.</t>
  </si>
  <si>
    <t>KPI SCORECARD</t>
  </si>
  <si>
    <t>Formula / definition</t>
  </si>
  <si>
    <t>Driver</t>
  </si>
  <si>
    <t>Leading indicator</t>
  </si>
  <si>
    <t>Lagging result</t>
  </si>
  <si>
    <t>Direction</t>
  </si>
  <si>
    <t>Calls Handled</t>
  </si>
  <si>
    <t>Total calls completed</t>
  </si>
  <si>
    <t>Productivity</t>
  </si>
  <si>
    <t>AHT / ASA</t>
  </si>
  <si>
    <t>Readiness and preventive actions completed on time</t>
  </si>
  <si>
    <t>Increase / maintain</t>
  </si>
  <si>
    <t>Average Handle Time</t>
  </si>
  <si>
    <t>(Talk + Hold + ACW) ÷ Calls</t>
  </si>
  <si>
    <t>Efficiency</t>
  </si>
  <si>
    <t>AHT</t>
  </si>
  <si>
    <t>Decrease</t>
  </si>
  <si>
    <t>First Call Resolution</t>
  </si>
  <si>
    <t>First-contact resolutions ÷ Total cases</t>
  </si>
  <si>
    <t>Effectiveness</t>
  </si>
  <si>
    <t>FCR</t>
  </si>
  <si>
    <t>Proactive customer actions completed on time</t>
  </si>
  <si>
    <t>Quality Score</t>
  </si>
  <si>
    <t>QA score ÷ Maximum score</t>
  </si>
  <si>
    <t>Channel QA</t>
  </si>
  <si>
    <t>Call Abandonment Impact</t>
  </si>
  <si>
    <t>Queue abandons during shift</t>
  </si>
  <si>
    <t>Accessibility</t>
  </si>
  <si>
    <t>Abandonment</t>
  </si>
  <si>
    <t>CSAT Score</t>
  </si>
  <si>
    <t>Positive surveys ÷ Total surveys</t>
  </si>
  <si>
    <t>Customer Experience</t>
  </si>
  <si>
    <t>CSAT</t>
  </si>
  <si>
    <t>Schedule Adherence</t>
  </si>
  <si>
    <t>Logged-in time ÷ Scheduled time</t>
  </si>
  <si>
    <t>Workforce Discipline</t>
  </si>
  <si>
    <t>ASA</t>
  </si>
  <si>
    <t>Escalation Accuracy</t>
  </si>
  <si>
    <t>Correct escalations ÷ Total escalations</t>
  </si>
  <si>
    <t>Process Compliance</t>
  </si>
  <si>
    <t>SIX-PHASE ROLE EVOLUTION</t>
  </si>
  <si>
    <t>Role focus</t>
  </si>
  <si>
    <t>Phase 1 — Foundation</t>
  </si>
  <si>
    <t>Phase 2 — Automation</t>
  </si>
  <si>
    <t>Phase 3 — AI Enabled</t>
  </si>
  <si>
    <t>Phase 4 — Predictive</t>
  </si>
  <si>
    <t>Phase 5 — Agentic</t>
  </si>
  <si>
    <t>Phase 6 — Autonomous</t>
  </si>
  <si>
    <t>Primary action</t>
  </si>
  <si>
    <t>Standard case work, knowledge use, accurate capture</t>
  </si>
  <si>
    <t>Use unified case workflow, routing, status and escalation automation</t>
  </si>
  <si>
    <t>Use Customer 360, omnichannel history and mentor-assist</t>
  </si>
  <si>
    <t>Act on sentiment, CSAT and SLA-risk prompts</t>
  </si>
  <si>
    <t>Validate customer-agent actions and handle exceptions</t>
  </si>
  <si>
    <t>Create accurate identifiers and governed records</t>
  </si>
  <si>
    <t>Capture complete case, status and communication events</t>
  </si>
  <si>
    <t>Use Customer 360 and unified interaction history</t>
  </si>
  <si>
    <t>Act on cross-channel risk and demand signals</t>
  </si>
  <si>
    <t>Validate context-aware agent actions</t>
  </si>
  <si>
    <t>Protect persistent context, traceability and customer outcomes</t>
  </si>
  <si>
    <t>Executive KPI contribution</t>
  </si>
  <si>
    <t>Baseline quality, SLA, productivity and customer measures</t>
  </si>
  <si>
    <t>Improve speed, accuracy, automation and manual effort</t>
  </si>
  <si>
    <t>Improve adoption, AHT, FCR, quality and channel continuity</t>
  </si>
  <si>
    <t>Improve forecast accuracy and proactive intervention</t>
  </si>
  <si>
    <t>Improve autonomous resolution with fewer manual touches</t>
  </si>
  <si>
    <t>Improve resilience, autonomous completion and customer-impact prevention</t>
  </si>
  <si>
    <t>EXECUTIVE TAKEAWAY</t>
  </si>
  <si>
    <t>The role shifts from handling every interaction manually to resolving complex exceptions, validating AI guidance, and safeguarding customer outcomes across channels.</t>
  </si>
  <si>
    <t>CONTACT CENTER AGENT — FIELD INVENTORY &amp; CONSIGNMENT</t>
  </si>
  <si>
    <t>Handle field-inventory inquiries, trunk-stock orders, consignment issues, expiring-inventory requests, and audit support.</t>
  </si>
  <si>
    <t>Inventory Case Closure Rate</t>
  </si>
  <si>
    <t>Closed cases ÷ Assigned cases</t>
  </si>
  <si>
    <t>Consignment Audit</t>
  </si>
  <si>
    <t>Inventory resolution</t>
  </si>
  <si>
    <t>Preventive checks and due actions completed on time</t>
  </si>
  <si>
    <t>Inventory Accuracy</t>
  </si>
  <si>
    <t>Accurate updates ÷ Transactions</t>
  </si>
  <si>
    <t>Case Accuracy</t>
  </si>
  <si>
    <t>Inventory accuracy</t>
  </si>
  <si>
    <t>Expiry Notification Accuracy</t>
  </si>
  <si>
    <t>Successful notifications ÷ Identified inventory</t>
  </si>
  <si>
    <t>Inventory Notifications</t>
  </si>
  <si>
    <t>Notification success</t>
  </si>
  <si>
    <t>Audit Support Timeliness</t>
  </si>
  <si>
    <t>Tasks completed on time ÷ Total tasks</t>
  </si>
  <si>
    <t>Audit Completion</t>
  </si>
  <si>
    <t>Audit compliance</t>
  </si>
  <si>
    <t>Audit Defect Rate</t>
  </si>
  <si>
    <t>Audit errors ÷ Audits processed</t>
  </si>
  <si>
    <t>Quality defects</t>
  </si>
  <si>
    <t>Establish accurate inventory records and audit standards</t>
  </si>
  <si>
    <t>Use automated notifications, reconciliation, PO follow-up and retrieval workflows</t>
  </si>
  <si>
    <t>Use unified asset context and digital service channels</t>
  </si>
  <si>
    <t>Act on expiry, non-return and recovery-risk predictions</t>
  </si>
  <si>
    <t>Manage exceptions from inventory, PO and retrieval agents</t>
  </si>
  <si>
    <t>Supervise autonomous inventory lifecycle and recovery outcomes</t>
  </si>
  <si>
    <t>The role moves from manual inquiry and audit support toward predictive exception handling and supervision of autonomous inventory and retrieval workflows.</t>
  </si>
  <si>
    <t>CONTACT CENTER AGENT — WARRANTY, COMPLAINTS &amp; DEVICE TRACKING</t>
  </si>
  <si>
    <t>Perform complaint and warranty intake, support device tracking, capture regulated data, and escalate cases to Quality teams.</t>
  </si>
  <si>
    <t>Complaint Capture Timeliness</t>
  </si>
  <si>
    <t>Complaints entered within 48 hours ÷ Total complaints</t>
  </si>
  <si>
    <t>Complaint SLA</t>
  </si>
  <si>
    <t>Device Tracking Accuracy</t>
  </si>
  <si>
    <t>Accurate entries ÷ Total entries</t>
  </si>
  <si>
    <t>Device accuracy</t>
  </si>
  <si>
    <t>Warranty Processing Timeliness</t>
  </si>
  <si>
    <t>Cases processed within SLA ÷ Total cases</t>
  </si>
  <si>
    <t>Warranty SLA</t>
  </si>
  <si>
    <t>Warranty compliance</t>
  </si>
  <si>
    <t>Data Entry Accuracy</t>
  </si>
  <si>
    <t>Correct records ÷ Total records</t>
  </si>
  <si>
    <t>Case quality</t>
  </si>
  <si>
    <t>Escalation Compliance</t>
  </si>
  <si>
    <t>Complaint KPI</t>
  </si>
  <si>
    <t>Standardize intake, validation, device data and escalation rules</t>
  </si>
  <si>
    <t>Adopt digital intake, classification, routing and device OCR</t>
  </si>
  <si>
    <t>Use unified history plus complaint, warranty and device copilots</t>
  </si>
  <si>
    <t>Act on complaint, CSAT and SLA-risk predictions</t>
  </si>
  <si>
    <t>Review complaint/warranty-agent decisions and edge cases</t>
  </si>
  <si>
    <t>Supervise autonomous complaint, warranty and device operations</t>
  </si>
  <si>
    <t>The role evolves from manual regulated-data capture to validating AI-assisted intake and supervising high-risk exceptions under human accountability.</t>
  </si>
  <si>
    <t>BACK OFFICE AGENT — CUSTOMER SERVICE</t>
  </si>
  <si>
    <t>Execute order entry and changes, manage customer email, coordinate accounts-receivable actions, and process reverse logistics.</t>
  </si>
  <si>
    <t>Orders Processed</t>
  </si>
  <si>
    <t>Orders completed</t>
  </si>
  <si>
    <t>Throughput</t>
  </si>
  <si>
    <t>Order Accuracy</t>
  </si>
  <si>
    <t>Orders without rework ÷ Total orders</t>
  </si>
  <si>
    <t>Processing accuracy</t>
  </si>
  <si>
    <t>Orders released within SLA ÷ Orders processed</t>
  </si>
  <si>
    <t>Order SLA</t>
  </si>
  <si>
    <t>Email Response SLA</t>
  </si>
  <si>
    <t>Emails answered within SLA ÷ Total emails</t>
  </si>
  <si>
    <t>Service response</t>
  </si>
  <si>
    <t>Returns Processing Accuracy</t>
  </si>
  <si>
    <t>Correct returns ÷ Total returns</t>
  </si>
  <si>
    <t>Returns quality</t>
  </si>
  <si>
    <t>Standardize order, email, AR and returns procedures</t>
  </si>
  <si>
    <t>Operate OCR/API entry, government-order validation and automated returns</t>
  </si>
  <si>
    <t>Use Customer 360, knowledge and agent-assist guidance for exceptions</t>
  </si>
  <si>
    <t>Act on order-release, SLA and revenue-risk predictions</t>
  </si>
  <si>
    <t>Supervise order, return and revenue-agent exceptions</t>
  </si>
  <si>
    <t>Oversee autonomous order orchestration with cross-domain controls</t>
  </si>
  <si>
    <t>Straight-through processing reduces routine entry work; the role becomes accountable for complex exceptions, financial integrity, and override quality.</t>
  </si>
  <si>
    <t>BACK OFFICE AGENT — FIELD INVENTORY &amp; CONSIGNMENT</t>
  </si>
  <si>
    <t>Role-wise executive dashboard | Sources: Role_Responsibilities and the five supporting KPI/customer/role dashboards</t>
  </si>
  <si>
    <t>Manage inventory activities, consignment reconciliations, audit preparation, PO follow-up, retrieval, and billing support.</t>
  </si>
  <si>
    <t>Reconciliation Accuracy</t>
  </si>
  <si>
    <t>Accurate reconciliations ÷ Total reconciliations</t>
  </si>
  <si>
    <t>PO Collection Rate</t>
  </si>
  <si>
    <t>POs obtained ÷ Pending PO cases</t>
  </si>
  <si>
    <t>PO Pending KPI</t>
  </si>
  <si>
    <t>Procurement follow-up</t>
  </si>
  <si>
    <t>Inventory Resolution Rate</t>
  </si>
  <si>
    <t>Resolved cases ÷ Assigned cases</t>
  </si>
  <si>
    <t>Inventory Retrieval</t>
  </si>
  <si>
    <t>Retrieval success</t>
  </si>
  <si>
    <t>Audit Readiness</t>
  </si>
  <si>
    <t>Audits prepared ÷ Scheduled audits</t>
  </si>
  <si>
    <t>Billing Accuracy</t>
  </si>
  <si>
    <t>Correct billings ÷ Billings processed</t>
  </si>
  <si>
    <t>Government Order KPI</t>
  </si>
  <si>
    <t>Financial quality</t>
  </si>
  <si>
    <t>Establish reconciliation, PO, audit and billing controls</t>
  </si>
  <si>
    <t>Use PO reminders, aging, retrieval and inventory automation</t>
  </si>
  <si>
    <t>Use knowledge and context for complex inventory cases</t>
  </si>
  <si>
    <t>Act on expiry, recovery, demand and leakage predictions</t>
  </si>
  <si>
    <t>Manage autonomous PO, revenue and inventory-agent exceptions</t>
  </si>
  <si>
    <t>Supervise autonomous inventory optimization and financial controls</t>
  </si>
  <si>
    <t>Create accurate governed records</t>
  </si>
  <si>
    <t>Capture complete case, status and event history</t>
  </si>
  <si>
    <t>Act on predictive customer and operational signals</t>
  </si>
  <si>
    <t>Protect persistent context, traceability and outcomes</t>
  </si>
  <si>
    <t>Baseline quality, SLA and productivity</t>
  </si>
  <si>
    <t>Improve speed, accuracy and manual effort</t>
  </si>
  <si>
    <t>Improve adoption, quality and channel continuity</t>
  </si>
  <si>
    <t>Improve forecast and intervention outcomes</t>
  </si>
  <si>
    <t>Improve autonomous resolution and controls</t>
  </si>
  <si>
    <t>Improve resilience, completion and prevention</t>
  </si>
  <si>
    <t>The role transitions from manual reconciliation and follow-up to exception-led oversight of predictive inventory and autonomous PO and revenue workflows.</t>
  </si>
  <si>
    <t>BACK OFFICE AGENT — WARRANTY, COMPLAINTS &amp; DEVICE TRACKING</t>
  </si>
  <si>
    <t>Process non-voice complaints, maintain device-tracking records, administer warranty cases, validate documentation, and manage rework.</t>
  </si>
  <si>
    <t>Warranty Case Closure Rate</t>
  </si>
  <si>
    <t>Closed cases ÷ Total warranty cases</t>
  </si>
  <si>
    <t>Warranty Timeliness</t>
  </si>
  <si>
    <t>Warranty closure</t>
  </si>
  <si>
    <t>Documentation Accuracy</t>
  </si>
  <si>
    <t>Correct records ÷ Records reviewed</t>
  </si>
  <si>
    <t>Document quality</t>
  </si>
  <si>
    <t>Complaint Processing SLA</t>
  </si>
  <si>
    <t>Complaints processed within SLA ÷ Total complaints</t>
  </si>
  <si>
    <t>Rework Rate</t>
  </si>
  <si>
    <t>Rework cases ÷ Total cases</t>
  </si>
  <si>
    <t>Standardize documentation, closure, SLA and rework controls</t>
  </si>
  <si>
    <t>Adopt complaint, warranty and device automation with validation</t>
  </si>
  <si>
    <t>Use unified history and domain copilots for case administration</t>
  </si>
  <si>
    <t>Prioritize predicted SLA, complaint and defect risks</t>
  </si>
  <si>
    <t>Approve exceptions from complaint and warranty agents</t>
  </si>
  <si>
    <t>Monitor autonomous resolution, evidence and regulatory outcomes</t>
  </si>
  <si>
    <t>The role shifts from repetitive administration to high-value validation, exception approval, evidence quality, and autonomous-resolution oversight.</t>
  </si>
  <si>
    <t>CONTACT CENTER MANAGER — US OPERATIONS</t>
  </si>
  <si>
    <t>Manage US contact-center agents, handle L1 escalations, own operational performance, coach teams, and protect customer experience.</t>
  </si>
  <si>
    <t>Team SLA Achievement</t>
  </si>
  <si>
    <t>SLAs met ÷ Total SLAs</t>
  </si>
  <si>
    <t>Service Delivery</t>
  </si>
  <si>
    <t>SLA reliability</t>
  </si>
  <si>
    <t>Team FCR</t>
  </si>
  <si>
    <t>Team first-contact resolution rate</t>
  </si>
  <si>
    <t>Escalation Resolution Time</t>
  </si>
  <si>
    <t>Escalations resolved within SLA ÷ Total escalations</t>
  </si>
  <si>
    <t>Escalation closure</t>
  </si>
  <si>
    <t>Coaching Completion</t>
  </si>
  <si>
    <t>Coaching sessions completed ÷ Planned sessions</t>
  </si>
  <si>
    <t>Capability</t>
  </si>
  <si>
    <t>Workforce readiness</t>
  </si>
  <si>
    <t>Team CSAT</t>
  </si>
  <si>
    <t>Positive team survey score ÷ Total valid surveys</t>
  </si>
  <si>
    <t>Customer Satisfaction</t>
  </si>
  <si>
    <t>Baseline team SLA, FCR, CSAT, capacity and coaching</t>
  </si>
  <si>
    <t>Drive adoption of routing, self-service and automated case workflows</t>
  </si>
  <si>
    <t>Coach AI-assisted performance and omnichannel continuity</t>
  </si>
  <si>
    <t>Use demand, attrition, SLA and customer-risk forecasts</t>
  </si>
  <si>
    <t>Govern autonomous service, capacity and customer safeguards</t>
  </si>
  <si>
    <t>The manager becomes the accountable integrator of human performance, AI adoption, predicted risk, digital-workforce capacity, and customer protection.</t>
  </si>
  <si>
    <t>BACK OFFICE MANAGER — DELIVERY OPERATIONS</t>
  </si>
  <si>
    <t>Lead India delivery teams, oversee production, manage L1 escalations, balance capacity, control backlogs, and sustain quality and retention.</t>
  </si>
  <si>
    <t>Team Productivity</t>
  </si>
  <si>
    <t>Transactions completed ÷ Planned volume</t>
  </si>
  <si>
    <t>Increase</t>
  </si>
  <si>
    <t>Team Accuracy</t>
  </si>
  <si>
    <t>Error-free transactions ÷ Total transactions</t>
  </si>
  <si>
    <t>Quality</t>
  </si>
  <si>
    <t>Backlog closed ÷ Backlog opened</t>
  </si>
  <si>
    <t>Backlog reduction</t>
  </si>
  <si>
    <t>Increase closure</t>
  </si>
  <si>
    <t>SLA Compliance</t>
  </si>
  <si>
    <t>SLAs met ÷ SLAs due</t>
  </si>
  <si>
    <t>Delivery</t>
  </si>
  <si>
    <t>SLA compliance</t>
  </si>
  <si>
    <t>Attrition Control</t>
  </si>
  <si>
    <t>Retained resources ÷ Team strength</t>
  </si>
  <si>
    <t>Workforce</t>
  </si>
  <si>
    <t>Attrition reduction</t>
  </si>
  <si>
    <t>Increase retention</t>
  </si>
  <si>
    <t>Baseline productivity, quality, SLA, backlog and retention</t>
  </si>
  <si>
    <t>Redesign work around automation and exception queues</t>
  </si>
  <si>
    <t>Use AI quality and guidance for complex transactions</t>
  </si>
  <si>
    <t>Use forecasts for staffing, backlog and SLA intervention</t>
  </si>
  <si>
    <t>Manage human/digital capacity and agent exceptions</t>
  </si>
  <si>
    <t>Govern autonomous delivery, resilience and accountable overrides</t>
  </si>
  <si>
    <t>The role shifts from production supervision to capacity orchestration, exception governance, AI-quality oversight, and accountable human intervention.</t>
  </si>
  <si>
    <t>OPERATIONS MANAGER — ENGAGEMENT LEADERSHIP</t>
  </si>
  <si>
    <t>Own engagement delivery, governance, escalation management, financial accountability, continuous improvement, and client satisfaction.</t>
  </si>
  <si>
    <t>Overall SLA Achievement</t>
  </si>
  <si>
    <t>Service Excellence</t>
  </si>
  <si>
    <t>Overall KPI Achievement</t>
  </si>
  <si>
    <t>KPIs met ÷ Total KPIs</t>
  </si>
  <si>
    <t>Contract Performance</t>
  </si>
  <si>
    <t>KPI performance</t>
  </si>
  <si>
    <t>Average CSAT</t>
  </si>
  <si>
    <t>Revenue Leakage Prevention</t>
  </si>
  <si>
    <t>Value recovered ÷ Value identified</t>
  </si>
  <si>
    <t>Financial</t>
  </si>
  <si>
    <t>Commercial value</t>
  </si>
  <si>
    <t>Improvement Delivery</t>
  </si>
  <si>
    <t>Improvements delivered ÷ Planned improvements</t>
  </si>
  <si>
    <t>Continuous Improvement</t>
  </si>
  <si>
    <t>Transformation value</t>
  </si>
  <si>
    <t>RCA Closure Timeliness</t>
  </si>
  <si>
    <t>RCAs closed within SLA ÷ RCAs raised</t>
  </si>
  <si>
    <t>Governance</t>
  </si>
  <si>
    <t>RCA compliance</t>
  </si>
  <si>
    <t>Escalation Closure Rate</t>
  </si>
  <si>
    <t>Closed escalations ÷ Total escalations</t>
  </si>
  <si>
    <t>Escalation performance</t>
  </si>
  <si>
    <t>Approve operating model, KPI owners, baselines and governance</t>
  </si>
  <si>
    <t>Prioritize automation portfolio, controls and benefits</t>
  </si>
  <si>
    <t>Approve AI use cases, privacy, knowledge and adoption</t>
  </si>
  <si>
    <t>Own model thresholds, interventions and realized value</t>
  </si>
  <si>
    <t>Set autonomy limits, accountability and agent value gates</t>
  </si>
  <si>
    <t>Run enterprise command, resilience and strategic optimization</t>
  </si>
  <si>
    <t>The Operations Manager remains the accountable executive owner—connecting customer outcomes, contract KPIs, financial value, risk, and human/agent governance.</t>
  </si>
  <si>
    <t>QUALITY ANALYST — QUALITY &amp; CONTROL ASSURANCE</t>
  </si>
  <si>
    <t>Perform quality monitoring, internal audits, process-compliance reviews, KPI validation, calibration, defect analysis, and CAPA follow-up.</t>
  </si>
  <si>
    <t>QA Coverage</t>
  </si>
  <si>
    <t>Transactions audited ÷ Total transactions</t>
  </si>
  <si>
    <t>QA Score</t>
  </si>
  <si>
    <t>Quality coverage</t>
  </si>
  <si>
    <t>Audit Timeliness</t>
  </si>
  <si>
    <t>Audits completed on time ÷ Planned audits</t>
  </si>
  <si>
    <t>Audit delivery</t>
  </si>
  <si>
    <t>Defect Detection Efficiency</t>
  </si>
  <si>
    <t>Defects found ÷ Total defects</t>
  </si>
  <si>
    <t>Defect management</t>
  </si>
  <si>
    <t>Calibration Accuracy</t>
  </si>
  <si>
    <t>Correct audit results ÷ Reviewed audits</t>
  </si>
  <si>
    <t>Quality accuracy</t>
  </si>
  <si>
    <t>CAPA Closure</t>
  </si>
  <si>
    <t>Closed CAPAs ÷ Open CAPAs</t>
  </si>
  <si>
    <t>Corrective action</t>
  </si>
  <si>
    <t>Standardize QA, audit, calibration and evidence controls</t>
  </si>
  <si>
    <t>Calibrate AI QA and review interaction analytics</t>
  </si>
  <si>
    <t>Validate models, drift, alerts, RCA and CAPA outcomes</t>
  </si>
  <si>
    <t>Audit agent decisions, overrides, evidence and compliance</t>
  </si>
  <si>
    <t>Assure autonomous decisions, lineage, resilience and controls</t>
  </si>
  <si>
    <t>Quality evolves from sample-based review to continuous assurance of AI models, agent decisions, autonomous workflows, evidence quality, and customer protection.</t>
  </si>
  <si>
    <t>ADMIN EXECUTIVE — REPORTING &amp; GOVERNANCE SUPPORT</t>
  </si>
  <si>
    <t>Create dashboards, deliver operational and customer reporting, prepare governance reviews, maintain action tracking, and assure data availability.</t>
  </si>
  <si>
    <t>Dashboard Timeliness</t>
  </si>
  <si>
    <t>Reports delivered on time ÷ Planned reports</t>
  </si>
  <si>
    <t>Reporting availability</t>
  </si>
  <si>
    <t>Report Accuracy</t>
  </si>
  <si>
    <t>Correct reports ÷ Total reports</t>
  </si>
  <si>
    <t>Reporting</t>
  </si>
  <si>
    <t>Reporting accuracy</t>
  </si>
  <si>
    <t>Governance Action Tracking</t>
  </si>
  <si>
    <t>Actions closed ÷ Total actions</t>
  </si>
  <si>
    <t>Action closure</t>
  </si>
  <si>
    <t>Data Availability</t>
  </si>
  <si>
    <t>Reports available on schedule ÷ Planned reports</t>
  </si>
  <si>
    <t>Operational Excellence</t>
  </si>
  <si>
    <t>Data availability</t>
  </si>
  <si>
    <t>Publish governed reports and maintain action evidence</t>
  </si>
  <si>
    <t>Operate automated refreshes, SLA packs and scorecards</t>
  </si>
  <si>
    <t>Support Governance Copilot and interaction analytics</t>
  </si>
  <si>
    <t>Publish predictive insights, interventions and benefits</t>
  </si>
  <si>
    <t>Maintain agent telemetry, risk and audit reporting</t>
  </si>
  <si>
    <t>Operate executive intelligence, KPI lineage and board reporting</t>
  </si>
  <si>
    <t>Manual report preparation declines sharply, while accountability expands toward data certification, KPI lineage, governance evidence, executive insight, and automated-report assurance.</t>
  </si>
  <si>
    <t>SURGEON — CLINICAL PRODUCT &amp; PROCEDURE JOURNEY</t>
  </si>
  <si>
    <t>Role-wise executive dashboard | Sources: Consulting Flows, Role_Responsibilities, Customer KPI Dashboard, Executive KPI Dashboard, Unified Customer View, KPI Progression, and Role KPI Dashboard</t>
  </si>
  <si>
    <t>Discover products and review clinical evidence. Select implant and sizer configuration. Prepare and submit procedure or easy orders. Confirm product availability and delivery for cases. Access clinical education and case support. Reconcile products used after procedures. Initiate returns, warranty claims, and device registration. Report product issues and complaints promptly.</t>
  </si>
  <si>
    <t>Product Information Access Success</t>
  </si>
  <si>
    <t>Successful product/clinical information sessions ÷ Total information sessions</t>
  </si>
  <si>
    <t>Product Knowledge</t>
  </si>
  <si>
    <t>Required product knowledge inputs complete</t>
  </si>
  <si>
    <t>Product Selection Accuracy</t>
  </si>
  <si>
    <t>Selections completed without correction ÷ Total selections</t>
  </si>
  <si>
    <t>Clinical Accuracy</t>
  </si>
  <si>
    <t>Required clinical accuracy inputs complete</t>
  </si>
  <si>
    <t>Order Submission Completeness</t>
  </si>
  <si>
    <t>Complete orders accepted first pass ÷ Total orders submitted</t>
  </si>
  <si>
    <t>Order Quality</t>
  </si>
  <si>
    <t>Required order quality inputs complete</t>
  </si>
  <si>
    <t>Case Readiness Rate</t>
  </si>
  <si>
    <t>Cases with confirmed product availability ÷ Total planned cases</t>
  </si>
  <si>
    <t>Procedure Readiness</t>
  </si>
  <si>
    <t>Required procedure readiness inputs complete</t>
  </si>
  <si>
    <t>Clinical Support Resolution Rate</t>
  </si>
  <si>
    <t>Support requests resolved ÷ Total support requests</t>
  </si>
  <si>
    <t>Clinical Enablement</t>
  </si>
  <si>
    <t>Required clinical enablement inputs complete</t>
  </si>
  <si>
    <t>Usage Reconciliation Timeliness</t>
  </si>
  <si>
    <t>Cases reconciled within required time ÷ Total completed cases</t>
  </si>
  <si>
    <t>Post-Procedure Control</t>
  </si>
  <si>
    <t>Required post-procedure control inputs complete</t>
  </si>
  <si>
    <t>Post-Procedure Request Accuracy</t>
  </si>
  <si>
    <t>Requests accepted without rework ÷ Total requests submitted</t>
  </si>
  <si>
    <t>Warranty &amp; Compliance</t>
  </si>
  <si>
    <t>Required warranty &amp; compliance inputs complete</t>
  </si>
  <si>
    <t>Product Issue Reporting Timeliness</t>
  </si>
  <si>
    <t>Issues reported within required time ÷ Total identified issues</t>
  </si>
  <si>
    <t>Patient Safety</t>
  </si>
  <si>
    <t>Required patient safety inputs complete</t>
  </si>
  <si>
    <t>Phases 5–6 — Agentic &amp; Autonomous</t>
  </si>
  <si>
    <t>Use governed product, safety, and education content</t>
  </si>
  <si>
    <t>Submit complete digital case and product requests</t>
  </si>
  <si>
    <t>Use Customer 360 and guided product support</t>
  </si>
  <si>
    <t>Act on availability, delivery, and case-risk alerts</t>
  </si>
  <si>
    <t>Confirm physician, facility, and product identifiers</t>
  </si>
  <si>
    <t>Create linked case, order, product, and communication events</t>
  </si>
  <si>
    <t>Use unified clinical, order, and support history</t>
  </si>
  <si>
    <t>Use cross-channel case and product-risk context</t>
  </si>
  <si>
    <t>Preserve clinical judgment and traceable approvals</t>
  </si>
  <si>
    <t>Baseline access, selection, and readiness</t>
  </si>
  <si>
    <t>Improve order completeness and status visibility</t>
  </si>
  <si>
    <t>Improve self-service, continuity, and support speed</t>
  </si>
  <si>
    <t>Reduce case disruption through proactive intervention</t>
  </si>
  <si>
    <t>Improve autonomous completion while protecting safety</t>
  </si>
  <si>
    <t>The surgeon journey becomes a governed, context-rich clinical and commercial experience: less time searching or chasing status, with human clinical judgment retained for product selection, safety, and exceptions.</t>
  </si>
  <si>
    <t>OFFICE MANAGER — ACCOUNT, ORDER &amp; INVENTORY JOURNEY</t>
  </si>
  <si>
    <t>Maintain account, contacts, users, and permissions. Create and submit customer orders. Manage pricing, purchase orders, and commercial details. Manage inventory, consignment, and procedure availability. Track shipments and resolve delivery exceptions. Review invoices, balances, payments, and credits. Coordinate returns, warranty, and device-tracking activities.</t>
  </si>
  <si>
    <t>Account Update Accuracy</t>
  </si>
  <si>
    <t>Correct account updates ÷ Total account updates</t>
  </si>
  <si>
    <t>Account Management</t>
  </si>
  <si>
    <t>Required account management inputs complete</t>
  </si>
  <si>
    <t>Order First-Pass Acceptance</t>
  </si>
  <si>
    <t>Orders accepted without correction ÷ Total orders submitted</t>
  </si>
  <si>
    <t>Commercial Validation Accuracy</t>
  </si>
  <si>
    <t>Orders passing price and PO validation ÷ Total orders reviewed</t>
  </si>
  <si>
    <t>Commercial Compliance</t>
  </si>
  <si>
    <t>Required commercial compliance inputs complete</t>
  </si>
  <si>
    <t>Product Availability Rate</t>
  </si>
  <si>
    <t>Requirements available by procedure date ÷ Total requirements</t>
  </si>
  <si>
    <t>Inventory Readiness</t>
  </si>
  <si>
    <t>Required inventory readiness inputs complete</t>
  </si>
  <si>
    <t>On-Time Delivery Visibility</t>
  </si>
  <si>
    <t>Deliveries with current status available ÷ Total deliveries</t>
  </si>
  <si>
    <t>Fulfillment Visibility</t>
  </si>
  <si>
    <t>Required fulfillment visibility inputs complete</t>
  </si>
  <si>
    <t>Financial Self-Service Completion</t>
  </si>
  <si>
    <t>Financial requests completed without assisted support ÷ Total requests</t>
  </si>
  <si>
    <t>Billing &amp; Payment</t>
  </si>
  <si>
    <t>Required billing &amp; payment inputs complete</t>
  </si>
  <si>
    <t>Post-Procedure Case Completion</t>
  </si>
  <si>
    <t>Returns/warranty/device cases completed ÷ Total cases initiated</t>
  </si>
  <si>
    <t>Post-Procedure Support</t>
  </si>
  <si>
    <t>Required post-procedure support inputs complete</t>
  </si>
  <si>
    <t>Maintain accurate account, order, and inventory data</t>
  </si>
  <si>
    <t>Use digital ordering, validation, tracking, and case workflows</t>
  </si>
  <si>
    <t>Use unified account history and guided self-service</t>
  </si>
  <si>
    <t>Act on delivery, inventory, financial, and SLA-risk alerts</t>
  </si>
  <si>
    <t>Establish account, location, user, and relationship accuracy</t>
  </si>
  <si>
    <t>Link orders, products, shipments, invoices, and cases</t>
  </si>
  <si>
    <t>Use consolidated account and interaction history</t>
  </si>
  <si>
    <t>Use predicted demand and exception context</t>
  </si>
  <si>
    <t>Validate high-impact changes and maintain auditability</t>
  </si>
  <si>
    <t>Baseline account, order, inventory, and service quality</t>
  </si>
  <si>
    <t>Improve automation, first-pass accuracy, and visibility</t>
  </si>
  <si>
    <t>Reduce effort and improve omnichannel continuity</t>
  </si>
  <si>
    <t>Prevent shortages, delays, and financial issues</t>
  </si>
  <si>
    <t>Increase autonomous completion with controlled overrides</t>
  </si>
  <si>
    <t>The office manager gains one operational view across account, order, inventory, delivery, financial, return, and warranty activity, reducing follow-up effort while preserving control over exceptions.</t>
  </si>
  <si>
    <t>SALES REPRESENTATIVE — RELATIONSHIP &amp; GROWTH JOURNEY</t>
  </si>
  <si>
    <t>Manage customer accounts and relationships. Recommend products and support product selection. Support quotes, pricing, and order placement. Coordinate cases, samples, and customer issues. Identify customer opportunities and whitespace. Maintain pipeline and forecast territory demand. Execute retention actions and manage escalations.</t>
  </si>
  <si>
    <t>Account Review Completion</t>
  </si>
  <si>
    <t>Completed account reviews ÷ Planned account reviews</t>
  </si>
  <si>
    <t>Relationship Management</t>
  </si>
  <si>
    <t>Required relationship management inputs complete</t>
  </si>
  <si>
    <t>Recommendation Acceptance Rate</t>
  </si>
  <si>
    <t>Accepted product recommendations ÷ Total recommendations</t>
  </si>
  <si>
    <t>Product Adoption</t>
  </si>
  <si>
    <t>Required product adoption inputs complete</t>
  </si>
  <si>
    <t>Commercial Support Accuracy</t>
  </si>
  <si>
    <t>Requests completed without pricing/order rework ÷ Total requests</t>
  </si>
  <si>
    <t>Commercial Effectiveness</t>
  </si>
  <si>
    <t>Required commercial effectiveness inputs complete</t>
  </si>
  <si>
    <t>Customer Follow-Up SLA</t>
  </si>
  <si>
    <t>Follow-ups completed within SLA ÷ Total follow-ups</t>
  </si>
  <si>
    <t>Required customer experience inputs complete</t>
  </si>
  <si>
    <t>Opportunity Capture Rate</t>
  </si>
  <si>
    <t>Qualified opportunities recorded ÷ Total identified opportunities</t>
  </si>
  <si>
    <t>Growth</t>
  </si>
  <si>
    <t>Required growth inputs complete</t>
  </si>
  <si>
    <t>Forecast Accuracy</t>
  </si>
  <si>
    <t>1 − ABS(Forecast Volume − Actual Volume) ÷ Actual Volume</t>
  </si>
  <si>
    <t>Forecasting</t>
  </si>
  <si>
    <t>Required forecasting inputs complete</t>
  </si>
  <si>
    <t>Retention Action Completion</t>
  </si>
  <si>
    <t>Retention actions completed ÷ Planned retention actions</t>
  </si>
  <si>
    <t>Customer Retention</t>
  </si>
  <si>
    <t>Required customer retention inputs complete</t>
  </si>
  <si>
    <t>Standardize account plans, product knowledge, and follow-up</t>
  </si>
  <si>
    <t>Use digital quotes, ordering, case status, and alerts</t>
  </si>
  <si>
    <t>Use Customer 360, unified history, and sales assist</t>
  </si>
  <si>
    <t>Act on churn, demand, whitespace, and service-risk predictions</t>
  </si>
  <si>
    <t>Maintain account, contact, and opportunity context</t>
  </si>
  <si>
    <t>Connect commercial activity to orders and service events</t>
  </si>
  <si>
    <t>Use complete relationship and interaction history</t>
  </si>
  <si>
    <t>Prioritize accounts using predictive signals</t>
  </si>
  <si>
    <t>Validate agent actions, consent, and relationship outcomes</t>
  </si>
  <si>
    <t>Baseline activity, adoption, pipeline, and retention</t>
  </si>
  <si>
    <t>Improve commercial accuracy and customer visibility</t>
  </si>
  <si>
    <t>Improve personalization, productivity, and continuity</t>
  </si>
  <si>
    <t>Improve forecast accuracy and proactive retention</t>
  </si>
  <si>
    <t>Grow governed automation without weakening ownership</t>
  </si>
  <si>
    <t>The sales representative shifts from fragmented follow-up to insight-led relationship management, using unified customer context and predictions while remaining accountable for trust, recommendations, and commercial outcomes.</t>
  </si>
  <si>
    <t>CUSTOMER SERVICE REPRESENTATIVE — END-TO-END SERVICE JOURNEY</t>
  </si>
  <si>
    <t>Create and update customer accounts. Capture and submit customer orders. Validate customer, commercial, financial, and availability rules. Manage order changes, repeat orders, and exceptions. Provide order, shipment, and delivery status. Research and respond to customer inquiries. Initiate returns and communicate credits. Capture complaints, warranty claims, and device records. Support invoice, balance, payment, and billing questions. Resolve or escalate product and order issues.</t>
  </si>
  <si>
    <t>Account Setup Timeliness</t>
  </si>
  <si>
    <t>Accounts completed within SLA ÷ Total account requests</t>
  </si>
  <si>
    <t>Customer Onboarding</t>
  </si>
  <si>
    <t>Required customer onboarding inputs complete</t>
  </si>
  <si>
    <t>Order Entry Accuracy</t>
  </si>
  <si>
    <t>Orders entered without rework ÷ Total orders entered</t>
  </si>
  <si>
    <t>Validation First-Pass Rate</t>
  </si>
  <si>
    <t>Orders passing all validations first pass ÷ Total orders validated</t>
  </si>
  <si>
    <t>Order Compliance</t>
  </si>
  <si>
    <t>Required order compliance inputs complete</t>
  </si>
  <si>
    <t>Order Change Accuracy</t>
  </si>
  <si>
    <t>Changes completed correctly ÷ Total order changes</t>
  </si>
  <si>
    <t>Required order management inputs complete</t>
  </si>
  <si>
    <t>Status Response Timeliness</t>
  </si>
  <si>
    <t>Status requests answered within SLA ÷ Total status requests</t>
  </si>
  <si>
    <t>Service Responsiveness</t>
  </si>
  <si>
    <t>Required service responsiveness inputs complete</t>
  </si>
  <si>
    <t>First Contact Resolution</t>
  </si>
  <si>
    <t>Inquiries resolved on first contact ÷ Total inquiries</t>
  </si>
  <si>
    <t>Return Intake Accuracy</t>
  </si>
  <si>
    <t>Returns accepted without rework ÷ Total returns initiated</t>
  </si>
  <si>
    <t>Returns &amp; Credits</t>
  </si>
  <si>
    <t>Required returns &amp; credits inputs complete</t>
  </si>
  <si>
    <t>Case Capture Accuracy</t>
  </si>
  <si>
    <t>Complete cases accepted first pass ÷ Total cases captured</t>
  </si>
  <si>
    <t>Complaint &amp; Warranty</t>
  </si>
  <si>
    <t>Required complaint &amp; warranty inputs complete</t>
  </si>
  <si>
    <t>Financial Inquiry Resolution</t>
  </si>
  <si>
    <t>Financial inquiries resolved ÷ Total financial inquiries</t>
  </si>
  <si>
    <t>Billing Support</t>
  </si>
  <si>
    <t>Required billing support inputs complete</t>
  </si>
  <si>
    <t>Correct escalations within SLA ÷ Total escalations</t>
  </si>
  <si>
    <t>Issue Resolution</t>
  </si>
  <si>
    <t>Required issue resolution inputs complete</t>
  </si>
  <si>
    <t>Use standard work, knowledge, and accurate capture</t>
  </si>
  <si>
    <t>Operate automated intake, validation, routing, and status</t>
  </si>
  <si>
    <t>Use Customer 360, unified history, and mentor-assist</t>
  </si>
  <si>
    <t>Act on SLA, complaint, sentiment, and demand-risk prompts</t>
  </si>
  <si>
    <t>Create accurate customer, account, and case identifiers</t>
  </si>
  <si>
    <t>Capture linked order, status, financial, and communication events</t>
  </si>
  <si>
    <t>Use complete omnichannel customer context</t>
  </si>
  <si>
    <t>Use predicted risk and prioritized work context</t>
  </si>
  <si>
    <t>Protect data quality and customer outcomes across agents</t>
  </si>
  <si>
    <t>Baseline accuracy, SLA, FCR, quality, and effort</t>
  </si>
  <si>
    <t>Improve cycle time, automation, and first-pass completion</t>
  </si>
  <si>
    <t>Improve AHT, FCR, self-service, and continuity</t>
  </si>
  <si>
    <t>Reduce breaches and complaints through intervention</t>
  </si>
  <si>
    <t>Increase autonomous resolution with accountable oversight</t>
  </si>
  <si>
    <t>The CSR remains the accountable service owner as routine work automates, focusing increasingly on complex resolution, empathy, exception quality, data stewardship, and validation of AI or agent actions.</t>
  </si>
  <si>
    <t>PATIENT — EDUCATION, WARRANTY &amp; SUPPORT JOURNEY</t>
  </si>
  <si>
    <t>Access approved product and implant information. Use information to support surgeon selection. Review implant, safety, and clinical education materials. Register warranty and device information. Submit warranty questions or product concerns. Track warranty or support request status.</t>
  </si>
  <si>
    <t>Product Information Access Rate</t>
  </si>
  <si>
    <t>Completed product-information sessions ÷ Total sessions started</t>
  </si>
  <si>
    <t>Patient Education</t>
  </si>
  <si>
    <t>Required patient education inputs complete</t>
  </si>
  <si>
    <t>Surgeon Information Journey Completion</t>
  </si>
  <si>
    <t>Completed surgeon-information journeys ÷ Total journeys started</t>
  </si>
  <si>
    <t>Care Navigation</t>
  </si>
  <si>
    <t>Required care navigation inputs complete</t>
  </si>
  <si>
    <t>Education Completion Rate</t>
  </si>
  <si>
    <t>Completed education modules ÷ Total modules started</t>
  </si>
  <si>
    <t>Informed Decision Support</t>
  </si>
  <si>
    <t>Required informed decision support inputs complete</t>
  </si>
  <si>
    <t>Registration Completion Rate</t>
  </si>
  <si>
    <t>Completed registrations ÷ Total registrations started</t>
  </si>
  <si>
    <t>Required warranty registration inputs complete</t>
  </si>
  <si>
    <t>Patient Request Completeness</t>
  </si>
  <si>
    <t>Requests accepted without missing information ÷ Total requests</t>
  </si>
  <si>
    <t>Patient Support</t>
  </si>
  <si>
    <t>Required patient support inputs complete</t>
  </si>
  <si>
    <t>Status Visibility Rate</t>
  </si>
  <si>
    <t>Cases with current status visible ÷ Total active patient cases</t>
  </si>
  <si>
    <t>Service Transparency</t>
  </si>
  <si>
    <t>Required service transparency inputs complete</t>
  </si>
  <si>
    <t>Access governed education and support pathways</t>
  </si>
  <si>
    <t>Use digital registration, request, and status services</t>
  </si>
  <si>
    <t>Receive context-aware knowledge and guided assistance</t>
  </si>
  <si>
    <t>Receive proactive status and risk communications</t>
  </si>
  <si>
    <t>Provide consented identity and product context</t>
  </si>
  <si>
    <t>Create linked registration and support events</t>
  </si>
  <si>
    <t>Use consistent history across approved channels</t>
  </si>
  <si>
    <t>Benefit from proactive context without losing privacy</t>
  </si>
  <si>
    <t>Retain consent, transparency, and appeal across agent actions</t>
  </si>
  <si>
    <t>Baseline education access and completion</t>
  </si>
  <si>
    <t>Improve registration, completeness, and visibility</t>
  </si>
  <si>
    <t>Improve self-service and channel continuity</t>
  </si>
  <si>
    <t>Prevent avoidable delay and dissatisfaction</t>
  </si>
  <si>
    <t>Improve safe autonomous completion and trust</t>
  </si>
  <si>
    <t>The patient experience is adjacent to the B2B operating model but essential to trust: approved education, consent, warranty registration, concern capture, and transparent status must remain safe, governed, and easy to escalate.</t>
  </si>
  <si>
    <t>PHASE 1 — OPERATIONAL FOUNDATION</t>
  </si>
  <si>
    <t>0–4 months | Executive summary | Source: PHASE 1 detailed worksheet</t>
  </si>
  <si>
    <t>STRATEGIC OBJECTIVE</t>
  </si>
  <si>
    <t>Establish a stable, measurable, and governed service-delivery model while designing unified case management, the single-customer-view data foundation, dynamic routing, and automated executive reporting.</t>
  </si>
  <si>
    <t>MILESTONES</t>
  </si>
  <si>
    <t>HEADLINE KPIS</t>
  </si>
  <si>
    <t>1.1 Operational Visibility &amp; Service Management Foundation</t>
  </si>
  <si>
    <t>Report availability</t>
  </si>
  <si>
    <t>1.2 Process Standardization &amp; Knowledge Management Foundation</t>
  </si>
  <si>
    <t>Governance action closure</t>
  </si>
  <si>
    <t>KEY RISKS AND CONTROLS</t>
  </si>
  <si>
    <t>High-impact risk</t>
  </si>
  <si>
    <t>Primary control / mitigation</t>
  </si>
  <si>
    <t>Lack of KPI ownership</t>
  </si>
  <si>
    <t>Establish a KPI ownership matrix</t>
  </si>
  <si>
    <t>Multiple reporting sources</t>
  </si>
  <si>
    <t>Create a centralized reporting repository</t>
  </si>
  <si>
    <t>Poor data quality</t>
  </si>
  <si>
    <t>Implement a data-governance framework</t>
  </si>
  <si>
    <t>Executive priority: approve the operating model, KPI ownership, data standards, and governance cadence before scaling automation.</t>
  </si>
  <si>
    <t>OPPORTUNITY INCLUSIONS</t>
  </si>
  <si>
    <t>Opportunity theme</t>
  </si>
  <si>
    <t>Roadmap addition</t>
  </si>
  <si>
    <t>Expected KPI / value impact</t>
  </si>
  <si>
    <t>Customer &amp; case foundation</t>
  </si>
  <si>
    <t>Unified case management and single-customer-view blueprint</t>
  </si>
  <si>
    <t>100% customer reporting; FCR/AHT/ASA baselines</t>
  </si>
  <si>
    <t>Routing design</t>
  </si>
  <si>
    <t>Skills, queues, escalation thresholds, and ownership</t>
  </si>
  <si>
    <t>Reduced transfers, ASA, and escalation delay after baseline</t>
  </si>
  <si>
    <t>Reporting automation</t>
  </si>
  <si>
    <t>Automated refresh, SLA packs, and executive scorecards</t>
  </si>
  <si>
    <t>100% availability; &gt;99% reporting accuracy</t>
  </si>
  <si>
    <t>Workflow standardization</t>
  </si>
  <si>
    <t>Target complaint, warranty, inventory, and service flows</t>
  </si>
  <si>
    <t>100% process mapping and SOP coverage</t>
  </si>
  <si>
    <t>ARCHITECTURE REVIEW — APPROVED PHASE CHANGES</t>
  </si>
  <si>
    <t>Revised timing</t>
  </si>
  <si>
    <t>Added prerequisites</t>
  </si>
  <si>
    <t>Resequenced capability</t>
  </si>
  <si>
    <t>Deferred / constrained</t>
  </si>
  <si>
    <t>Entry gate</t>
  </si>
  <si>
    <t>Exit gate</t>
  </si>
  <si>
    <t>Buyer/GovernAI approval; contractual shall-not controls; source authority; target-architecture, safety, model, retrieval and system-of-record decisions.</t>
  </si>
  <si>
    <t>Move Customer 360 identity blueprint, canonical identifiers, AI safety baseline and integrated dependency plan into the foundation.</t>
  </si>
  <si>
    <t>No production AI or transaction automation until approval, architecture and control evidence is accepted.</t>
  </si>
  <si>
    <t>Signed scope and named accountable owners.</t>
  </si>
  <si>
    <t>PHASE 2 — PROCESS AUTOMATION</t>
  </si>
  <si>
    <t>4–9 months | Executive summary | Source: PHASE 2 detailed worksheet</t>
  </si>
  <si>
    <t>Remove manual effort through workflow, RPA, intelligent validation, and unified case execution across orders, government orders, returns, PO follow-up, complaints, warranty, devices, inventory, and customer communications.</t>
  </si>
  <si>
    <t>2.1 Order Management Automation</t>
  </si>
  <si>
    <t>Automation coverage</t>
  </si>
  <si>
    <t>&gt;80%</t>
  </si>
  <si>
    <t>2.2 Complaint &amp; Warranty Automation</t>
  </si>
  <si>
    <t>Order cycle time</t>
  </si>
  <si>
    <t>2.3 Inventory &amp; Asset Lifecycle Automation</t>
  </si>
  <si>
    <t>Manual intervention</t>
  </si>
  <si>
    <t>OCR inaccuracies</t>
  </si>
  <si>
    <t>Use a human-review workflow</t>
  </si>
  <si>
    <t>ERP integration failure</t>
  </si>
  <si>
    <t>Apply an API testing framework</t>
  </si>
  <si>
    <t>Data-quality issues</t>
  </si>
  <si>
    <t>Embed validation controls</t>
  </si>
  <si>
    <t>Executive priority: fund the highest-volume automation waves while retaining human exception handling and integration controls.</t>
  </si>
  <si>
    <t>Order &amp; government orders</t>
  </si>
  <si>
    <t>OCR/API order entry plus pricing, eligibility, PO, and compliance validation</t>
  </si>
  <si>
    <t>70–90% automation potential; cycle time -30%</t>
  </si>
  <si>
    <t>Returns &amp; PO follow-up</t>
  </si>
  <si>
    <t>Automated RMA, inventory/refund posting, reminders, aging, and escalation</t>
  </si>
  <si>
    <t>Reduced aging, manual touches, and billing delay</t>
  </si>
  <si>
    <t>Device tracking</t>
  </si>
  <si>
    <t>OCR extraction and validation of physician, serial, and device data</t>
  </si>
  <si>
    <t>&gt;99% device-tracking accuracy</t>
  </si>
  <si>
    <t>Unified case execution</t>
  </si>
  <si>
    <t>Link operational status and communications to customer/case records</t>
  </si>
  <si>
    <t>Complaint intake &gt;99%; routing &gt;98%</t>
  </si>
  <si>
    <t>Approved ICD catalogue; data/retention matrix; security and privacy design closure; positive, negative, replay and reconciliation tests.</t>
  </si>
  <si>
    <t>Implement identity-linked case/order records before scaling OCR, returns, PO follow-up, device and government-order automation.</t>
  </si>
  <si>
    <t>Defer automation for interfaces without authoritative ownership, failure handling, evidence and human exception queues.</t>
  </si>
  <si>
    <t>Phase 1 architecture, governance and source-of-truth gates passed.</t>
  </si>
  <si>
    <t>PHASE 3 — AI-ENABLED OPERATIONS</t>
  </si>
  <si>
    <t>9–15 months | Executive summary | Source: PHASE 3 detailed worksheet</t>
  </si>
  <si>
    <t>Augment customers, agents, quality teams, and leaders with Customer 360, unified omnichannel history, mentor-bot, mentor-assist, domain copilots, governed RAG, AI quality, and automated governance reporting.</t>
  </si>
  <si>
    <t>3.1 Customer Self-Service &amp; Digital Engagement</t>
  </si>
  <si>
    <t>Self-service adoption</t>
  </si>
  <si>
    <t>&gt;35%</t>
  </si>
  <si>
    <t>3.2 Agent Assist &amp; Real-Time AI Guidance</t>
  </si>
  <si>
    <t>Call deflection</t>
  </si>
  <si>
    <t>&gt;30%</t>
  </si>
  <si>
    <t>3.3 AI Quality Management &amp; Intelligent Quality Operations</t>
  </si>
  <si>
    <t>Average handle time</t>
  </si>
  <si>
    <t>QA coverage</t>
  </si>
  <si>
    <t>Inaccurate AI responses</t>
  </si>
  <si>
    <t>Use approved knowledge and human escalation</t>
  </si>
  <si>
    <t>AI hallucination</t>
  </si>
  <si>
    <t>Apply RAG grounding, guardrails, and confidence thresholds</t>
  </si>
  <si>
    <t>Data privacy</t>
  </si>
  <si>
    <t>Apply masking, consent, access control, and audit logs</t>
  </si>
  <si>
    <t>Executive priority: mandate responsible-AI controls, approved knowledge sources, human-in-the-loop decisions, and measurable adoption.</t>
  </si>
  <si>
    <t>Customer 360</t>
  </si>
  <si>
    <t>Unified conversation repository and customer context service</t>
  </si>
  <si>
    <t>Omnichannel continuity &gt;95%</t>
  </si>
  <si>
    <t>mentor-bot &amp; mentor-assist</t>
  </si>
  <si>
    <t>Self-service plus responses, SOP guidance, compliance, and next-best actions</t>
  </si>
  <si>
    <t>Deflection 30–50%; AHT -15% to -30%; FCR +10% to +20%</t>
  </si>
  <si>
    <t>Domain &amp; knowledge copilots</t>
  </si>
  <si>
    <t>Warranty, complaint, device, and enterprise knowledge support</t>
  </si>
  <si>
    <t>Search success &gt;90%; device accuracy &gt;99%</t>
  </si>
  <si>
    <t>AI quality &amp; governance</t>
  </si>
  <si>
    <t>100% interaction analytics and automated review packs</t>
  </si>
  <si>
    <t>QA 100%; reporting effort -70% to -90%</t>
  </si>
  <si>
    <t>Approved model inventory; RAG/retrieval design; golden set; red-team, leakage and hallucination tests; privacy and GxP evidence.</t>
  </si>
  <si>
    <t>Retain Customer 360 implementation here, but its identity/data design moves to Phases 1–2; deploy copilots as read-only or human-approved first.</t>
  </si>
  <si>
    <t>No unrestricted writes, regulated adjudication or autonomous medical/quality decisions.</t>
  </si>
  <si>
    <t>Governed data, interfaces, knowledge sources and validation plan available.</t>
  </si>
  <si>
    <t>PHASE 4 — PREDICTIVE OPERATIONS</t>
  </si>
  <si>
    <t>15–22 months | Executive summary | Source: PHASE 4 detailed worksheet</t>
  </si>
  <si>
    <t>Move to proactive operations through contact, workforce, attrition, SLA, CSAT, sentiment, inventory, revenue-leakage, and RCA/CAPA intelligence with governed intervention workflows.</t>
  </si>
  <si>
    <t>4.1 Predictive Workforce Intelligence</t>
  </si>
  <si>
    <t>Forecast accuracy</t>
  </si>
  <si>
    <t>4.2 Predictive SLA &amp; Service Risk Management</t>
  </si>
  <si>
    <t>Schedule adherence</t>
  </si>
  <si>
    <t>4.3 Predictive Inventory Intelligence</t>
  </si>
  <si>
    <t>Overtime</t>
  </si>
  <si>
    <t>Workforce occupancy</t>
  </si>
  <si>
    <t>75%–85%</t>
  </si>
  <si>
    <t>Poor forecast accuracy</t>
  </si>
  <si>
    <t>Continuously retrain and validate models</t>
  </si>
  <si>
    <t>Insufficient history</t>
  </si>
  <si>
    <t>Run a data-enrichment program</t>
  </si>
  <si>
    <t>Missed high-risk events</t>
  </si>
  <si>
    <t>Retain human oversight and review</t>
  </si>
  <si>
    <t>Executive priority: certify data readiness, model performance, and intervention ownership before operational decisions rely on predictions.</t>
  </si>
  <si>
    <t>Demand &amp; workforce</t>
  </si>
  <si>
    <t>Contact forecasting and attrition risk</t>
  </si>
  <si>
    <t>Forecast &gt;90%; overtime -30%; proactive retention</t>
  </si>
  <si>
    <t>Customer &amp; SLA risk</t>
  </si>
  <si>
    <t>Same-day to next-week SLA, CSAT, and sentiment prediction</t>
  </si>
  <si>
    <t>SLA breaches -50%; complaints -25%; intervention &gt;80%</t>
  </si>
  <si>
    <t>Inventory &amp; revenue</t>
  </si>
  <si>
    <t>Expiry/recovery prediction, digital twin, and leakage detection</t>
  </si>
  <si>
    <t>Reduced loss and leakage; retrieval &gt;95%</t>
  </si>
  <si>
    <t>RCA &amp; CAPA</t>
  </si>
  <si>
    <t>Defect clustering and corrective-action recommendations</t>
  </si>
  <si>
    <t>Faster RCA and fewer repeat defects</t>
  </si>
  <si>
    <t>Prediction-owner matrix; intervention playbooks; bias/drift thresholds; capacity, p95/p99 performance and model rollback tests.</t>
  </si>
  <si>
    <t>Sequence SLA/customer-risk models before broader workforce, inventory and revenue predictions where data maturity is lower.</t>
  </si>
  <si>
    <t>Predictions remain advisory until accuracy, drift, intervention ownership and measurable benefit are certified.</t>
  </si>
  <si>
    <t>Phase 3 data lineage, model quality and operational telemetry gates passed.</t>
  </si>
  <si>
    <t>PHASE 5 — AGENTIC OPERATIONS</t>
  </si>
  <si>
    <t>22–33 months | Executive summary | Source: PHASE 5 detailed worksheet</t>
  </si>
  <si>
    <t>Deploy a governed digital workforce spanning complaint, warranty, PO, revenue, inventory, workforce, audit, and governance operations, supported by identity, lifecycle, registry, observability, and risk controls.</t>
  </si>
  <si>
    <t>5.1 Agentic Complaint Management</t>
  </si>
  <si>
    <t>Complaint processing time</t>
  </si>
  <si>
    <t>5.2 Agentic Warranty Operations</t>
  </si>
  <si>
    <t>Manual touches</t>
  </si>
  <si>
    <t>5.3 Agentic Governance &amp; Executive Operations</t>
  </si>
  <si>
    <t>Complaint intake accuracy</t>
  </si>
  <si>
    <t>5.4 Enterprise Multi-Agent Orchestration Platform</t>
  </si>
  <si>
    <t>Resolution cycle time</t>
  </si>
  <si>
    <t>Incorrect autonomous decisions</t>
  </si>
  <si>
    <t>Use mandatory human approval checkpoints</t>
  </si>
  <si>
    <t>Regulatory impact</t>
  </si>
  <si>
    <t>Embed compliance review workflows</t>
  </si>
  <si>
    <t>Accountability gaps</t>
  </si>
  <si>
    <t>Assign agent identity and end-to-end audit logging</t>
  </si>
  <si>
    <t>Executive priority: define autonomy boundaries, accountable owners, approval thresholds, kill switches, and evidence requirements for every agent.</t>
  </si>
  <si>
    <t>Operational agents</t>
  </si>
  <si>
    <t>Workforce, audit, PO collection, revenue integrity, and inventory agents</t>
  </si>
  <si>
    <t>Manual touches -70%; faster audits and closure</t>
  </si>
  <si>
    <t>Agent identity</t>
  </si>
  <si>
    <t>Authentication, authorization, ownership, and enterprise registry</t>
  </si>
  <si>
    <t>Accountability and traceability</t>
  </si>
  <si>
    <t>Lifecycle &amp; observability</t>
  </si>
  <si>
    <t>Approve, activate, monitor, retire, and investigate agents</t>
  </si>
  <si>
    <t>Earlier risk detection and controlled adoption</t>
  </si>
  <si>
    <t>Controlled autonomy</t>
  </si>
  <si>
    <t>Decision rights, limits, overrides, kill switches, and evidence</t>
  </si>
  <si>
    <t>Autonomous resolution &gt;60%; near-zero violations</t>
  </si>
  <si>
    <t>Agent identity, registry, decision rights, risk tier, approval threshold, observability, incident response, override and kill switch.</t>
  </si>
  <si>
    <t>Start with low-risk PO, reporting, audit and inventory agents; progress complaint/warranty agents only after regulated negative tests.</t>
  </si>
  <si>
    <t>Medical decisions, complaint/adverse-event adjudication and quality disposition remain prohibited and human-owned.</t>
  </si>
  <si>
    <t>Predictive controls and production evidence are stable; every agent has an accountable owner and approved authority boundary.</t>
  </si>
  <si>
    <t>PHASE 6 — AUTONOMOUS ENTERPRISE</t>
  </si>
  <si>
    <t>33–42 months | Executive summary | Source: PHASE 6 detailed worksheet</t>
  </si>
  <si>
    <t>Scale autonomous enterprise operations through an AI command center, enterprise knowledge brain, self-healing workflows, autonomous governance/reporting, order orchestration, and multi-agent customer operations.</t>
  </si>
  <si>
    <t>6.1 AI Operations Command Center &amp; Digital Workforce Orchestration</t>
  </si>
  <si>
    <t>Enterprise automation rate</t>
  </si>
  <si>
    <t>&gt;75%</t>
  </si>
  <si>
    <t>6.2 Enterprise Knowledge Brain &amp; Cognitive Intelligence Platform</t>
  </si>
  <si>
    <t>Autonomous process completion</t>
  </si>
  <si>
    <t>&gt;85%</t>
  </si>
  <si>
    <t>6.3 Self-Healing Operations &amp; Autonomous Process Optimization</t>
  </si>
  <si>
    <t>Agent availability</t>
  </si>
  <si>
    <t>&gt;99.9%</t>
  </si>
  <si>
    <t>6.4 Autonomous Governance &amp; Executive Intelligence</t>
  </si>
  <si>
    <t>SLA achievement</t>
  </si>
  <si>
    <t>Agent coordination failure</t>
  </si>
  <si>
    <t>Apply multi-agent orchestration controls</t>
  </si>
  <si>
    <t>Autonomous workflow errors</t>
  </si>
  <si>
    <t>Maintain human intervention mechanisms</t>
  </si>
  <si>
    <t>Decision traceability gaps</t>
  </si>
  <si>
    <t>Require end-to-end audit logging</t>
  </si>
  <si>
    <t>Executive priority: establish enterprise command, resilience, knowledge, and governance platforms before scaling autonomy across functions.</t>
  </si>
  <si>
    <t>Command &amp; knowledge</t>
  </si>
  <si>
    <t>AI Operations Command Center and trusted Knowledge Brain</t>
  </si>
  <si>
    <t>Availability &gt;99.9%; knowledge accuracy &gt;99%</t>
  </si>
  <si>
    <t>Self-healing</t>
  </si>
  <si>
    <t>Autonomous detection, remediation, verification, and learning</t>
  </si>
  <si>
    <t>MTTR -70%; customer-impacting incidents -75%</t>
  </si>
  <si>
    <t>Autonomous orchestration</t>
  </si>
  <si>
    <t>End-to-end order and cross-domain multi-agent coordination</t>
  </si>
  <si>
    <t>Autonomous completion &gt;85%; automation &gt;75%</t>
  </si>
  <si>
    <t>Governance &amp; optimization</t>
  </si>
  <si>
    <t>Continuous control verification, executive reporting, and process optimization</t>
  </si>
  <si>
    <t>Near-zero exceptions; productivity +50%</t>
  </si>
  <si>
    <t>Service-tier RTO/RPO, failover, restore, degraded-mode, self-healing verification, continuous control monitoring and supplier resilience.</t>
  </si>
  <si>
    <t>Scale only proven Phase 5 agents into cross-domain orchestration; preserve human command for high-risk and regulated outcomes.</t>
  </si>
  <si>
    <t>Enterprise autonomy is not a blanket authority expansion; exclusions and approval boundaries remain enforceable.</t>
  </si>
  <si>
    <t>Agent portfolio meets availability, safety, audit, incident and recovery thresholds.</t>
  </si>
  <si>
    <r>
      <t>Timeline:</t>
    </r>
    <r>
      <rPr>
        <sz val="12"/>
        <color theme="1"/>
        <rFont val="Tenorite"/>
      </rPr>
      <t xml:space="preserve"> </t>
    </r>
  </si>
  <si>
    <t>Strategic Objective</t>
  </si>
  <si>
    <t>Milestone</t>
  </si>
  <si>
    <t>Desired Outcome</t>
  </si>
  <si>
    <t>Deliverable</t>
  </si>
  <si>
    <t>Application Component</t>
  </si>
  <si>
    <t>Key Features</t>
  </si>
  <si>
    <t>Expected Outcome</t>
  </si>
  <si>
    <t>PHASE 1: OPERATIONAL FOUNDATION</t>
  </si>
  <si>
    <t>0-4 Months</t>
  </si>
  <si>
    <t>Establish a stable, measurable, and governed service delivery operating model by creating standardized operational processes, enterprise reporting, workforce visibility, governance controls, and foundational service management capabilities. This phase creates the baseline for automation, AI enablement, predictive operations, and continuous improvement in later phases.</t>
  </si>
  <si>
    <t>Milestone 1.1: Operational Visibility &amp; Service Management Foundation</t>
  </si>
  <si>
    <t>Create a single source of truth for operations, workforce management, SLA compliance, governance, reporting, and service performance monitoring.</t>
  </si>
  <si>
    <t>KPI Management</t>
  </si>
  <si>
    <t>Enterprise Operations Dashboard</t>
  </si>
  <si>
    <t>Operations Dashboard</t>
  </si>
  <si>
    <t>Real-time KPI monitoring, drill-down analytics, scorecards, alerts</t>
  </si>
  <si>
    <t>Enterprise-wide visibility of operational health</t>
  </si>
  <si>
    <t>SLA Management</t>
  </si>
  <si>
    <t>SLA Monitoring Framework</t>
  </si>
  <si>
    <t>SLA Management Engine</t>
  </si>
  <si>
    <t>SLA definition, tracking, breach alerts, escalation matrix</t>
  </si>
  <si>
    <t>Improved SLA compliance and transparency</t>
  </si>
  <si>
    <t>Workforce Visibility</t>
  </si>
  <si>
    <t>Workforce Performance Dashboard</t>
  </si>
  <si>
    <t>Workforce Dashboard</t>
  </si>
  <si>
    <t>Utilization reporting, capacity planning, productivity tracking</t>
  </si>
  <si>
    <t>Workforce optimization visibility</t>
  </si>
  <si>
    <t>Operational Reporting</t>
  </si>
  <si>
    <t>Automated Reporting Framework</t>
  </si>
  <si>
    <t>Reporting Hub</t>
  </si>
  <si>
    <t>Scheduled reports, auto-distribution, trend analysis</t>
  </si>
  <si>
    <t>Reduction in manual reporting effort</t>
  </si>
  <si>
    <t>Governance Management</t>
  </si>
  <si>
    <t>Service Governance Portal</t>
  </si>
  <si>
    <t>Governance Portal</t>
  </si>
  <si>
    <t>Decision logs, action tracker, governance calendar</t>
  </si>
  <si>
    <t>Structured operational governance</t>
  </si>
  <si>
    <t>Escalation Management</t>
  </si>
  <si>
    <t>Escalation Control Framework</t>
  </si>
  <si>
    <t>Escalation Workflow Engine</t>
  </si>
  <si>
    <t>Escalation routing, severity classifications, notifications</t>
  </si>
  <si>
    <t>Faster issue resolution</t>
  </si>
  <si>
    <t>Service Review Management</t>
  </si>
  <si>
    <t>Operational Review Framework</t>
  </si>
  <si>
    <t>Review Management Portal</t>
  </si>
  <si>
    <t>Weekly reviews, MBR/QBR tracking, action management</t>
  </si>
  <si>
    <t>Improved operational accountability</t>
  </si>
  <si>
    <t>Risk Management</t>
  </si>
  <si>
    <t>Operational Risk Register</t>
  </si>
  <si>
    <t>Risk Management Module</t>
  </si>
  <si>
    <t>Risk logging, mitigation tracking, impact assessment</t>
  </si>
  <si>
    <t>Early identification of delivery risks</t>
  </si>
  <si>
    <t>Incident Visibility</t>
  </si>
  <si>
    <t>Incident Monitoring Dashboard</t>
  </si>
  <si>
    <t>Incident Management Portal</t>
  </si>
  <si>
    <t>Incident trend reports, RCA tracking, resolution metrics</t>
  </si>
  <si>
    <t>Improved service stability</t>
  </si>
  <si>
    <t>Resource Planning</t>
  </si>
  <si>
    <t>Capacity Management Framework</t>
  </si>
  <si>
    <t>Capacity Planning Tool</t>
  </si>
  <si>
    <t>Forecasting, demand management, staffing model</t>
  </si>
  <si>
    <t>Better workforce allocation</t>
  </si>
  <si>
    <t>Customer Reporting</t>
  </si>
  <si>
    <t>Customer Reporting Portal</t>
  </si>
  <si>
    <t>Service Reporting Portal</t>
  </si>
  <si>
    <t>Customer dashboards, SLA reports, service health metrics</t>
  </si>
  <si>
    <t>Enhanced stakeholder confidence</t>
  </si>
  <si>
    <t>Vendor Performance Monitoring</t>
  </si>
  <si>
    <t>Supplier Governance Dashboard</t>
  </si>
  <si>
    <t>Vendor Management Portal</t>
  </si>
  <si>
    <t>Vendor KPI tracking, contractual compliance monitoring</t>
  </si>
  <si>
    <t>Improved third-party accountability</t>
  </si>
  <si>
    <t>Milestone 1.1 KPI Framework</t>
  </si>
  <si>
    <t>KPI Category</t>
  </si>
  <si>
    <t>Target</t>
  </si>
  <si>
    <t>Report Availability</t>
  </si>
  <si>
    <t>Reporting Accuracy</t>
  </si>
  <si>
    <t>SLA Visibility</t>
  </si>
  <si>
    <t>Governance Action Closure</t>
  </si>
  <si>
    <t>Utilization Visibility</t>
  </si>
  <si>
    <t>Productivity Tracking Coverage</t>
  </si>
  <si>
    <t>Customer</t>
  </si>
  <si>
    <t>Customer Reporting Availability</t>
  </si>
  <si>
    <t>Incident</t>
  </si>
  <si>
    <t>RCA Completion</t>
  </si>
  <si>
    <t>Dashboard</t>
  </si>
  <si>
    <t>Platform Availability</t>
  </si>
  <si>
    <t>&gt;99.5%</t>
  </si>
  <si>
    <t>Milestone 1.1 Risks and Mitigation</t>
  </si>
  <si>
    <t>Risk</t>
  </si>
  <si>
    <t>Impact</t>
  </si>
  <si>
    <t>Mitigation</t>
  </si>
  <si>
    <t>Establish KPI ownership matrix</t>
  </si>
  <si>
    <t>Create centralized reporting repository</t>
  </si>
  <si>
    <t>Implement data governance framework</t>
  </si>
  <si>
    <t>Lack of operational adoption</t>
  </si>
  <si>
    <t>Business stakeholder engagement program</t>
  </si>
  <si>
    <t>Inconsistent SLA definitions</t>
  </si>
  <si>
    <t>Medium</t>
  </si>
  <si>
    <t>Enterprise SLA standards</t>
  </si>
  <si>
    <t>Missing governance reviews</t>
  </si>
  <si>
    <t>Governance calendar and mandatory reviews</t>
  </si>
  <si>
    <t>Insufficient workforce data</t>
  </si>
  <si>
    <t>Integrate HR and operational systems</t>
  </si>
  <si>
    <t>Tool fragmentation</t>
  </si>
  <si>
    <t>Reporting platform consolidation</t>
  </si>
  <si>
    <t>Milestone 1.2: Process Standardization &amp; Knowledge Management Foundation</t>
  </si>
  <si>
    <t>Features</t>
  </si>
  <si>
    <t>Establish enterprise-wide process consistency, documentation standards, knowledge management, quality controls, training frameworks, and operational excellence practices.</t>
  </si>
  <si>
    <t>SOP Management</t>
  </si>
  <si>
    <t>Standard Operating Procedures Repository</t>
  </si>
  <si>
    <t>SOP Repository</t>
  </si>
  <si>
    <t>Version control, approval workflow, document lifecycle</t>
  </si>
  <si>
    <t>Process consistency</t>
  </si>
  <si>
    <t>Process Management</t>
  </si>
  <si>
    <t>Enterprise Process Library</t>
  </si>
  <si>
    <t>Process Repository</t>
  </si>
  <si>
    <t>Process inventory, RACI mapping, governance ownership</t>
  </si>
  <si>
    <t>Standardized operations</t>
  </si>
  <si>
    <t>Knowledge Management</t>
  </si>
  <si>
    <t>Enterprise Knowledge Base</t>
  </si>
  <si>
    <t>Knowledge Portal</t>
  </si>
  <si>
    <t>Searchable knowledge articles, FAQs, templates</t>
  </si>
  <si>
    <t>Reduced knowledge dependency</t>
  </si>
  <si>
    <t>Workflow Standardization</t>
  </si>
  <si>
    <t>Workflow Catalog</t>
  </si>
  <si>
    <t>Workflow Engine</t>
  </si>
  <si>
    <t>Standardized workflows, approvals, controls</t>
  </si>
  <si>
    <t>Consistent process execution</t>
  </si>
  <si>
    <t>Quality Management</t>
  </si>
  <si>
    <t>QA Framework</t>
  </si>
  <si>
    <t>QA Platform</t>
  </si>
  <si>
    <t>Audits, evaluations, quality scorecards</t>
  </si>
  <si>
    <t>Improved service quality</t>
  </si>
  <si>
    <t>Training Management</t>
  </si>
  <si>
    <t>Learning Management Framework</t>
  </si>
  <si>
    <t>LMS Platform</t>
  </si>
  <si>
    <t>Training assignments, certification tracking</t>
  </si>
  <si>
    <t>Workforce capability development</t>
  </si>
  <si>
    <t>Policy Management</t>
  </si>
  <si>
    <t>Policy Repository</t>
  </si>
  <si>
    <t>Policy Management Portal</t>
  </si>
  <si>
    <t>Policy publication, acknowledgements, reviews</t>
  </si>
  <si>
    <t>Compliance readiness</t>
  </si>
  <si>
    <t>Process Improvement Framework</t>
  </si>
  <si>
    <t>Continuous Improvement Portal</t>
  </si>
  <si>
    <t>Improvement tracking, Lean initiatives</t>
  </si>
  <si>
    <t>Continuous improvement culture</t>
  </si>
  <si>
    <t>Service Documentation</t>
  </si>
  <si>
    <t>Service Catalogue</t>
  </si>
  <si>
    <t>Service Management Portal</t>
  </si>
  <si>
    <t>Service definitions, ownership, dependencies</t>
  </si>
  <si>
    <t>Transparency of services</t>
  </si>
  <si>
    <t>Competency Management</t>
  </si>
  <si>
    <t>Skills Framework</t>
  </si>
  <si>
    <t>Skills Management Platform</t>
  </si>
  <si>
    <t>Skills inventory, role mapping, certifications</t>
  </si>
  <si>
    <t>Milestone 1.2 KPI Framework</t>
  </si>
  <si>
    <t>SOP Compliance</t>
  </si>
  <si>
    <t>SOP Documentation Coverage</t>
  </si>
  <si>
    <t>Process Mapping Completion</t>
  </si>
  <si>
    <t>Knowledge Articles Coverage</t>
  </si>
  <si>
    <t>Training Completion</t>
  </si>
  <si>
    <t>QA Audit Coverage</t>
  </si>
  <si>
    <t>Policy Acknowledgement</t>
  </si>
  <si>
    <t>Service Catalogue Coverage</t>
  </si>
  <si>
    <t>Certification Compliance</t>
  </si>
  <si>
    <t>Process Adoption Rate</t>
  </si>
  <si>
    <t>Milestone 1.2 Risks and Mitigation</t>
  </si>
  <si>
    <t>Missing SOPs</t>
  </si>
  <si>
    <t>Process discovery workshops</t>
  </si>
  <si>
    <t>Knowledge loss</t>
  </si>
  <si>
    <t>Knowledge capture program</t>
  </si>
  <si>
    <t>Training gaps</t>
  </si>
  <si>
    <t>Structured accreditation program</t>
  </si>
  <si>
    <t>Low adoption of standards</t>
  </si>
  <si>
    <t>Change management activities</t>
  </si>
  <si>
    <t>Incomplete process ownership</t>
  </si>
  <si>
    <t>RACI and ownership framework</t>
  </si>
  <si>
    <t>Outdated documentation</t>
  </si>
  <si>
    <t>Periodic review controls</t>
  </si>
  <si>
    <t>Lack of SME participation</t>
  </si>
  <si>
    <t>Mandatory review process</t>
  </si>
  <si>
    <t>Poor quality audits</t>
  </si>
  <si>
    <t>QA governance framework</t>
  </si>
  <si>
    <t>Phase 1 Exit Criteria</t>
  </si>
  <si>
    <t>Phase 1 is considered complete when:</t>
  </si>
  <si>
    <t>Exit Criteria</t>
  </si>
  <si>
    <t>Enterprise dashboard operational</t>
  </si>
  <si>
    <t>Achieved</t>
  </si>
  <si>
    <t>SLA monitoring implemented</t>
  </si>
  <si>
    <t>Governance portal operational</t>
  </si>
  <si>
    <t>Workforce dashboard available</t>
  </si>
  <si>
    <t>Reporting automation enabled</t>
  </si>
  <si>
    <t>SOP repository established</t>
  </si>
  <si>
    <t>Process inventory completed</t>
  </si>
  <si>
    <t>Knowledge base operational</t>
  </si>
  <si>
    <t>Training framework activated</t>
  </si>
  <si>
    <t>QA framework operational</t>
  </si>
  <si>
    <t>Governance reviews institutionalized</t>
  </si>
  <si>
    <t>Key Business Outcomes</t>
  </si>
  <si>
    <t>1. Single source of operational truth established.</t>
  </si>
  <si>
    <t>2. End-to-end service visibility achieved.</t>
  </si>
  <si>
    <t>3. Standardized operating procedures implemented.</t>
  </si>
  <si>
    <t>4. Governance and escalation processes institutionalized.</t>
  </si>
  <si>
    <t>5. Workforce productivity measurable and reportable.</t>
  </si>
  <si>
    <t>6. Foundational controls ready for automation and AI enablement in Phase 2.</t>
  </si>
  <si>
    <t>7. Operational risks managed through structured governance.</t>
  </si>
  <si>
    <t>8. Enterprise knowledge retained and reusable.</t>
  </si>
  <si>
    <t>9. Customer reporting standardized.</t>
  </si>
  <si>
    <t>10. Organization prepared for Intelligent Operations Transformation.</t>
  </si>
  <si>
    <t>This version is aligned more closely with an Enterprise PMO, Service Delivery Excellence, ITSM, Operational Governance, and TOGAF-style capability-based roadmap structure.</t>
  </si>
  <si>
    <t>OPPORTUNITY ALIGNMENT — INCORPORATED INTO THIS PHASE</t>
  </si>
  <si>
    <t>Inclusion / capability</t>
  </si>
  <si>
    <t>Phase action</t>
  </si>
  <si>
    <t>Expected improvement</t>
  </si>
  <si>
    <t>Unified case management design</t>
  </si>
  <si>
    <t>Unified Case Management operating model</t>
  </si>
  <si>
    <t>Define common customer/case identifiers, interaction taxonomy, queue ownership, and resolution workflow</t>
  </si>
  <si>
    <t>Customer reporting availability 100%; establish FCR, AHT, ASA, transfer, and abandonment baselines</t>
  </si>
  <si>
    <t>Opportunity rows 4–13</t>
  </si>
  <si>
    <t>Approve process owner and data owner</t>
  </si>
  <si>
    <t>Included</t>
  </si>
  <si>
    <t>Single customer view blueprint</t>
  </si>
  <si>
    <t>Customer interaction source and identity map</t>
  </si>
  <si>
    <t>Inventory voice, email, web, order, complaint, warranty, device, returns, and inventory sources</t>
  </si>
  <si>
    <t>Complete source-system map, ownership, retention, consent, and access-control design</t>
  </si>
  <si>
    <t>Opportunity rows 6–7 and 215</t>
  </si>
  <si>
    <t>Approve customer data product charter</t>
  </si>
  <si>
    <t>Dynamic routing foundation</t>
  </si>
  <si>
    <t>Skill, queue, and escalation design</t>
  </si>
  <si>
    <t>Define skills, routing rules, priority logic, escalation thresholds, and exception ownership</t>
  </si>
  <si>
    <t>Reduced transfers and ASA; faster escalation closure after baseline</t>
  </si>
  <si>
    <t>Opportunity rows 8–11</t>
  </si>
  <si>
    <t>Approve routing and escalation matrix</t>
  </si>
  <si>
    <t>Reporting automation foundation</t>
  </si>
  <si>
    <t>Standardize data definitions and automate reporting schedules and evidence</t>
  </si>
  <si>
    <t>Report availability 100%; reporting accuracy &gt;99%; reporting effort begins to decline</t>
  </si>
  <si>
    <t>Opportunity rows 76–80</t>
  </si>
  <si>
    <t>Approve reporting architecture and controls</t>
  </si>
  <si>
    <t>Optimized complaint, warranty, inventory, and customer-service flows</t>
  </si>
  <si>
    <t>Document target flows, handoffs, controls, and exception paths before automation</t>
  </si>
  <si>
    <t>Process mapping 100%; SOP coverage 100%; knowledge coverage &gt;95%</t>
  </si>
  <si>
    <t>Opportunity rows 15–31</t>
  </si>
  <si>
    <t>Approve target processes and SOP owners</t>
  </si>
  <si>
    <t>CONSULTING FLOWS — ADDITIVE JOURNEY ALIGNMENT</t>
  </si>
  <si>
    <t>Journey theme</t>
  </si>
  <si>
    <t>Persona and journey baseline</t>
  </si>
  <si>
    <t>Consulting Flows persona taxonomy and journey inventory</t>
  </si>
  <si>
    <t>Confirm persona definitions, journey ownership, identifiers, source systems, consent, and KPI owners</t>
  </si>
  <si>
    <t>Complete role/persona traceability and approved baselines</t>
  </si>
  <si>
    <t>Consulting Flows rows 3–20 and 24–84</t>
  </si>
  <si>
    <t>Approve persona and journey ownership</t>
  </si>
  <si>
    <t>Added</t>
  </si>
  <si>
    <t>ARCHITECTURE REVIEW — PHASE CHANGE CONTROL</t>
  </si>
  <si>
    <t>MENTOR SOLUTION — ARCHITECTURE GAP ASSESSMENT</t>
  </si>
  <si>
    <t>Consolidated review of RoadMap_Milestones_Mentor, Medical Device Business Services Mentor, and Requirements Documents | 13 Sep 2026</t>
  </si>
  <si>
    <t>Story in brief: The solution has strong functional, non-functional, persona, KPI and six-phase transformation coverage, but it is not production-approval ready. The principal blockers are governance approvals, one authoritative target architecture, system-of-record and interface decisions, model/GPU/TCO baselines, validation evidence, and an integrated owner/date/dependency roadmap. Intentional layout blanks elsewhere in the workbook were preserved; this register fills the two genuinely empty reserved tabs with traceable content.</t>
  </si>
  <si>
    <t>READINESS SUMMARY</t>
  </si>
  <si>
    <t>Source completeness score</t>
  </si>
  <si>
    <t>Complete domains</t>
  </si>
  <si>
    <t>Partial domains</t>
  </si>
  <si>
    <t>Missing domains</t>
  </si>
  <si>
    <t>Critical requirement gaps</t>
  </si>
  <si>
    <t>Domain</t>
  </si>
  <si>
    <t>Gap / inconsistency</t>
  </si>
  <si>
    <t>Required remediation</t>
  </si>
  <si>
    <t>Source artifact</t>
  </si>
  <si>
    <t>Objectives/business scope</t>
  </si>
  <si>
    <t>Complete</t>
  </si>
  <si>
    <t>None material.</t>
  </si>
  <si>
    <t>Maintain scope links.</t>
  </si>
  <si>
    <t>Signed Work Order</t>
  </si>
  <si>
    <t>Functional requirements</t>
  </si>
  <si>
    <t>No mandatory FR metadata blanks.</t>
  </si>
  <si>
    <t>Maintain change control and close PendingEvidenceRegister items.</t>
  </si>
  <si>
    <t>Requirements + Work Order</t>
  </si>
  <si>
    <t>Non-functional requirements</t>
  </si>
  <si>
    <t>No mandatory NFR metadata blanks.</t>
  </si>
  <si>
    <t>Approve thresholds and execute evidence identified in Section 24.</t>
  </si>
  <si>
    <t>Component List + Governance</t>
  </si>
  <si>
    <t>Role-based use cases</t>
  </si>
  <si>
    <t>Implementation and access-certification evidence remains open.</t>
  </si>
  <si>
    <t>Execute UAT, RBAC, approval and evidence actions in Section 24.</t>
  </si>
  <si>
    <t>Governance Overview</t>
  </si>
  <si>
    <t>Contract scope/exclusions</t>
  </si>
  <si>
    <t>Partial</t>
  </si>
  <si>
    <t>Critical</t>
  </si>
  <si>
    <t>Negative requirements/evidence absent.</t>
  </si>
  <si>
    <t>Add shall-not requirements and approval fields.</t>
  </si>
  <si>
    <t>Target architecture</t>
  </si>
  <si>
    <t>Compute, model, retrieval and vendor capability commitments still require approved ADRs and validation.</t>
  </si>
  <si>
    <t>Close PE-017 to PE-022, PE-029 and PE-030.</t>
  </si>
  <si>
    <t>Component List + HTML</t>
  </si>
  <si>
    <t>Integration catalogue</t>
  </si>
  <si>
    <t>Source, direction and phase differ.</t>
  </si>
  <si>
    <t>Approve ICD with owner, CRUD, protocol, SLA and phase.</t>
  </si>
  <si>
    <t>Mentor Data &amp; Integrations</t>
  </si>
  <si>
    <t>Data model/ownership</t>
  </si>
  <si>
    <t>No governed dictionary/lineage.</t>
  </si>
  <si>
    <t>Add field source, steward, classification and retention.</t>
  </si>
  <si>
    <t>Security/privacy</t>
  </si>
  <si>
    <t>No DDR/AppSec/privacy/risk closure IDs.</t>
  </si>
  <si>
    <t>Link assessment IDs and residual-risk approval.</t>
  </si>
  <si>
    <t>Council + Governance</t>
  </si>
  <si>
    <t>AI governance lifecycle</t>
  </si>
  <si>
    <t>No portal ID/decisions/green light.</t>
  </si>
  <si>
    <t>Governance evidence register/release gate.</t>
  </si>
  <si>
    <t>HITL/transaction authority</t>
  </si>
  <si>
    <t>Validation evidence pending.</t>
  </si>
  <si>
    <t>Release-blocking acceptance test.</t>
  </si>
  <si>
    <t>Council + Component List</t>
  </si>
  <si>
    <t>Model quality/drift/red team</t>
  </si>
  <si>
    <t>No owner, cadence or thresholds.</t>
  </si>
  <si>
    <t>Define evaluation/release plan.</t>
  </si>
  <si>
    <t>Council Responses</t>
  </si>
  <si>
    <t>Retention/records</t>
  </si>
  <si>
    <t>No schedule, purge proof or retrieval SLA.</t>
  </si>
  <si>
    <t>Retention matrix and tests.</t>
  </si>
  <si>
    <t>Roadmap/milestones</t>
  </si>
  <si>
    <t>All ten initiatives are Amber; two owners require verification and calendar baseline is absent.</t>
  </si>
  <si>
    <t>Approve R1-R10 register, verify owners, add dates/evidence and enforce downstream revalidation.</t>
  </si>
  <si>
    <t>Genesys–Mentor Boundary Workbook</t>
  </si>
  <si>
    <t>Cost/capacity baseline</t>
  </si>
  <si>
    <t>Missing</t>
  </si>
  <si>
    <t>PAYG/L4/A100/H100 mixed.</t>
  </si>
  <si>
    <t>Approve assumptions, scenario and sensitivity.</t>
  </si>
  <si>
    <t>NVIDIA GPU Estimations</t>
  </si>
  <si>
    <t>Acceptance/validation</t>
  </si>
  <si>
    <t>No evidence IDs/approvers/pass-fail.</t>
  </si>
  <si>
    <t>Validation evidence register.</t>
  </si>
  <si>
    <t>Source traceability/change</t>
  </si>
  <si>
    <t>Contradictions unresolved.</t>
  </si>
  <si>
    <t>Document register, authority and supersession.</t>
  </si>
  <si>
    <t>All artifacts</t>
  </si>
  <si>
    <t>Operational readiness</t>
  </si>
  <si>
    <t>No runbook, RACI, SLO, DR test/checklist.</t>
  </si>
  <si>
    <t>Operational readiness evidence pack.</t>
  </si>
  <si>
    <t>Component List + Work Order</t>
  </si>
  <si>
    <t>REQUIREMENT-LEVEL CLOSURE REGISTER — 28 GAPS</t>
  </si>
  <si>
    <t>Gap ID</t>
  </si>
  <si>
    <t>Domain / coverage</t>
  </si>
  <si>
    <t>Severity / completion status</t>
  </si>
  <si>
    <t>Outstanding closure</t>
  </si>
  <si>
    <t>RG-001</t>
  </si>
  <si>
    <t>AI approval / Missing</t>
  </si>
  <si>
    <t>Critical — Partial / Open</t>
  </si>
  <si>
    <t>Add an explicit shall-not-deploy requirement tied to Buyer prior written approval; then link approval evidence.</t>
  </si>
  <si>
    <t>RG-002</t>
  </si>
  <si>
    <t>GovernAI lifecycle / Partial</t>
  </si>
  <si>
    <t>Critical — Documented / Decision or evidence open</t>
  </si>
  <si>
    <t>Link GovernAI ID, Business Reviewer decision, five reviewer decisions and mitigation timestamps.</t>
  </si>
  <si>
    <t>RG-003</t>
  </si>
  <si>
    <t>Production approval / Missing</t>
  </si>
  <si>
    <t>Link Operating resubmission, production re-review, Council demo and green-light decision.</t>
  </si>
  <si>
    <t>RG-004</t>
  </si>
  <si>
    <t>Commercial scope / Partial</t>
  </si>
  <si>
    <t>High — Partial / Open</t>
  </si>
  <si>
    <t>Approve scope-to-contract matrix and Change Order triggers/IDs for AI, enhanced BCP, travel and additions.</t>
  </si>
  <si>
    <t>RG-005</t>
  </si>
  <si>
    <t>Regulated authority / Missing</t>
  </si>
  <si>
    <t>Critical — Requirements complete / Evidence open</t>
  </si>
  <si>
    <t>Execute negative tests proving prohibited medical, complaint, adverse-event and quality decisions are blocked.</t>
  </si>
  <si>
    <t>RG-006</t>
  </si>
  <si>
    <t>Complaint escalation / Partial</t>
  </si>
  <si>
    <t>High — Requirements complete / Evidence open</t>
  </si>
  <si>
    <t>Approve escalation recipients/timers and execute acknowledgment, overdue and failure-path tests.</t>
  </si>
  <si>
    <t>RG-007</t>
  </si>
  <si>
    <t>Transition acceptance / Partial</t>
  </si>
  <si>
    <t>Create milestone register with contractual dates, owner, evidence ID, approver and pass/fail result.</t>
  </si>
  <si>
    <t>RG-008</t>
  </si>
  <si>
    <t>SLA governance / Missing</t>
  </si>
  <si>
    <t>Add/approve contractual KPI methodology-change rule and calculation specifications.</t>
  </si>
  <si>
    <t>RG-009</t>
  </si>
  <si>
    <t>Service credits / Missing</t>
  </si>
  <si>
    <t>High — Open / Not fulfilled</t>
  </si>
  <si>
    <t>Add stabilization date, Jan-2027 penalties, credit/exclusion/RCA/CAP and earn-back calculation requirements plus scenario tests.</t>
  </si>
  <si>
    <t>RG-010</t>
  </si>
  <si>
    <t>System of record / Partial</t>
  </si>
  <si>
    <t>Approve signed system-of-record matrix resolving SAP/JDE, CRM, MDM and ETQ/QMS conflicts.</t>
  </si>
  <si>
    <t>RG-011</t>
  </si>
  <si>
    <t>Interface catalogue / Partial</t>
  </si>
  <si>
    <t>Approve complete ICD catalogue and positive, negative, replay, retry and reconciliation tests.</t>
  </si>
  <si>
    <t>RG-012</t>
  </si>
  <si>
    <t>Canonical data model / Partial</t>
  </si>
  <si>
    <t>Approve canonical dictionary, keys, relationships, owners and lineage across CRM/ERP/Genesys/MDM.</t>
  </si>
  <si>
    <t>RG-013</t>
  </si>
  <si>
    <t>Security approvals / Missing</t>
  </si>
  <si>
    <t>Link DDR, AppSec, privacy/cyber, architecture, TQ&amp;C and residual-risk decisions.</t>
  </si>
  <si>
    <t>RG-014</t>
  </si>
  <si>
    <t>GxP validation / Partial</t>
  </si>
  <si>
    <t>Quality must approve GxP classification, validation plan, trace matrix, test evidence and monitoring.</t>
  </si>
  <si>
    <t>RG-015</t>
  </si>
  <si>
    <t>Records lifecycle / Partial</t>
  </si>
  <si>
    <t>Approve record-class matrix and execute immutability, legal-hold, purge, restore and retrieval-SLA tests.</t>
  </si>
  <si>
    <t>RG-016</t>
  </si>
  <si>
    <t>Payment data / Partial</t>
  </si>
  <si>
    <t>Approve PCI data flow and prove cardholder data is excluded from prompts, logs and storage.</t>
  </si>
  <si>
    <t>RG-017</t>
  </si>
  <si>
    <t>Safety baseline / Contradictory</t>
  </si>
  <si>
    <t>Critical — Open / Not fulfilled</t>
  </si>
  <si>
    <t>Select and approve the safety implementation and pass jailbreak, leakage, hallucination and bypass tests.</t>
  </si>
  <si>
    <t>RG-018</t>
  </si>
  <si>
    <t>Compute topology / Contradictory</t>
  </si>
  <si>
    <t>Approve authoritative AKS/App Service topology, resource inventory and IaC plan.</t>
  </si>
  <si>
    <t>RG-019</t>
  </si>
  <si>
    <t>Retrieval platform / Contradictory</t>
  </si>
  <si>
    <t>Approve Azure AI Search/Qdrant retrieval design, ownership, authorization, performance, backup and fallback.</t>
  </si>
  <si>
    <t>RG-020</t>
  </si>
  <si>
    <t>DevSecOps toolchain / Contradictory</t>
  </si>
  <si>
    <t>Approve BitBucket/Jenkins/Terraform versus GitHub toolchain and reproducible pipeline/IaC evidence.</t>
  </si>
  <si>
    <t>RG-021</t>
  </si>
  <si>
    <t>Model baseline / Contradictory</t>
  </si>
  <si>
    <t>Approve model inventory, versions, routing, thresholds, fallback and rollback.</t>
  </si>
  <si>
    <t>RG-022</t>
  </si>
  <si>
    <t>GPU and TCO / Contradictory</t>
  </si>
  <si>
    <t>Select PAYG/L4/A100-H100 scenario and sign volume, HA/DR, TCO and sensitivity assumptions.</t>
  </si>
  <si>
    <t>RG-023</t>
  </si>
  <si>
    <t>Resilience / Missing</t>
  </si>
  <si>
    <t>Approve service-tier RTO/RPO and complete failover, restore and degraded-mode tests.</t>
  </si>
  <si>
    <t>RG-024</t>
  </si>
  <si>
    <t>Capacity / Partial</t>
  </si>
  <si>
    <t>Approve workload assumptions, p95/p99 latency, throughput, queue-age and saturation thresholds; run load tests.</t>
  </si>
  <si>
    <t>RG-025</t>
  </si>
  <si>
    <t>Model quality / Partial</t>
  </si>
  <si>
    <t>Assign golden-set owner/cadence, approve thresholds and prove failed evaluation gates block release.</t>
  </si>
  <si>
    <t>RG-026</t>
  </si>
  <si>
    <t>Supply-chain security / Missing</t>
  </si>
  <si>
    <t>Add explicit SAST/SCA/container/secret/CVE thresholds, remediation SLAs and exception-expiry requirement; provide pipeline evidence.</t>
  </si>
  <si>
    <t>RG-027</t>
  </si>
  <si>
    <t>Monitoring and incidents / Partial</t>
  </si>
  <si>
    <t>Approve alert severity/response times and execute PHI leak and incident-response simulations with immutable evidence.</t>
  </si>
  <si>
    <t>RG-028</t>
  </si>
  <si>
    <t>Roadmap governance / Missing</t>
  </si>
  <si>
    <t>Populate every roadmap item with owner, dates, dependency, status, acceptance, evidence link and overdue escalation.</t>
  </si>
  <si>
    <t>MENTOR SOLUTION — PRIORITIZED MILESTONE PLAN</t>
  </si>
  <si>
    <t>Dependency-based remediation plan derived from the requirements completeness review | Target dates require owner confirmation</t>
  </si>
  <si>
    <t>Execution sequence: close Buyer/GovernAI and contractual controls first; approve one target architecture and integrated roadmap; then lock the system-of-record/interface, GPU/TCO, validation, security and data baselines; finally assemble go-live evidence. Production approval should remain on conditional hold until the closure evidence is linked and accepted.</t>
  </si>
  <si>
    <t>MILESTONE SUMMARY</t>
  </si>
  <si>
    <t>Total actions</t>
  </si>
  <si>
    <t>Critical actions</t>
  </si>
  <si>
    <t>High actions</t>
  </si>
  <si>
    <t>Recommendation</t>
  </si>
  <si>
    <t>Conditional hold</t>
  </si>
  <si>
    <t>ID</t>
  </si>
  <si>
    <t>Closure evidence</t>
  </si>
  <si>
    <t>Owner</t>
  </si>
  <si>
    <t>Target date</t>
  </si>
  <si>
    <t>Current status</t>
  </si>
  <si>
    <t>Dependency</t>
  </si>
  <si>
    <t>Health</t>
  </si>
  <si>
    <t>A-01</t>
  </si>
  <si>
    <t>Obtain Buyer AI approval/GovernAI green light.</t>
  </si>
  <si>
    <t>Letter, portal ID, five reviews, Council decision, Operating status.</t>
  </si>
  <si>
    <t>Use Case Owner</t>
  </si>
  <si>
    <t>External approval open</t>
  </si>
  <si>
    <t>Reviewers</t>
  </si>
  <si>
    <t>A-02</t>
  </si>
  <si>
    <t>Approve one deployment architecture.</t>
  </si>
  <si>
    <t>Versioned diagrams and hosting ADRs.</t>
  </si>
  <si>
    <t>Chief Architect</t>
  </si>
  <si>
    <t>Decision open</t>
  </si>
  <si>
    <t>A-03</t>
  </si>
  <si>
    <t>Choose one GPU/cost scenario.</t>
  </si>
  <si>
    <t>Signed capacity/TCO assumptions.</t>
  </si>
  <si>
    <t>Architecture + FinOps</t>
  </si>
  <si>
    <t>A-04</t>
  </si>
  <si>
    <t>Baseline integrated roadmap.</t>
  </si>
  <si>
    <t>Owner/date/dependency/status/acceptance for every activity.</t>
  </si>
  <si>
    <t>Program Manager</t>
  </si>
  <si>
    <t>Requirements defined / Plan evidence open</t>
  </si>
  <si>
    <t>Leads</t>
  </si>
  <si>
    <t>A-05</t>
  </si>
  <si>
    <t>Approve interface/system-of-record catalogue.</t>
  </si>
  <si>
    <t>ICD for SAP/JDE, Salesforce, Reltio, lake, Genesys, Paymetric, Butterfly.</t>
  </si>
  <si>
    <t>Integration Lead</t>
  </si>
  <si>
    <t>Requirements defined / Catalogue approval open</t>
  </si>
  <si>
    <t>A-06</t>
  </si>
  <si>
    <t>Add contractual negative requirements.</t>
  </si>
  <si>
    <t>Shall-not requirements and escalation tests.</t>
  </si>
  <si>
    <t>Quality + Legal</t>
  </si>
  <si>
    <t>Requirements complete / Tests open</t>
  </si>
  <si>
    <t>A-07</t>
  </si>
  <si>
    <t>Finalize model validation governance.</t>
  </si>
  <si>
    <t>Golden set, cadence, drift/red-team/release criteria.</t>
  </si>
  <si>
    <t>AI Validation Lead</t>
  </si>
  <si>
    <t>Requirements complete / Validation evidence open</t>
  </si>
  <si>
    <t>A-01,A-02</t>
  </si>
  <si>
    <t>A-08</t>
  </si>
  <si>
    <t>Create data/retention matrix.</t>
  </si>
  <si>
    <t>Owner, class, store, retention, purge, legal hold, retrieval SLA.</t>
  </si>
  <si>
    <t>Data Governance</t>
  </si>
  <si>
    <t>Requirements complete / Matrix and tests open</t>
  </si>
  <si>
    <t>A-09</t>
  </si>
  <si>
    <t>Make FR/NFRs independently testable.</t>
  </si>
  <si>
    <t>ID, owner, threshold, test, evidence, state.</t>
  </si>
  <si>
    <t>BA Lead</t>
  </si>
  <si>
    <t>Requirements documentation complete</t>
  </si>
  <si>
    <t>A-02,A-05</t>
  </si>
  <si>
    <t>A-10</t>
  </si>
  <si>
    <t>Create go-live evidence register.</t>
  </si>
  <si>
    <t>Tests, approvals, SOPs, access, DR and runbooks.</t>
  </si>
  <si>
    <t>QA Lead</t>
  </si>
  <si>
    <t>Evidence register open</t>
  </si>
  <si>
    <t>A-04,A-09</t>
  </si>
  <si>
    <t>A-11</t>
  </si>
  <si>
    <t>Complete security/privacy/risk evidence.</t>
  </si>
  <si>
    <t>DDR, AppSec, privacy, ISRM and supplier-risk closure.</t>
  </si>
  <si>
    <t>ISRM Lead</t>
  </si>
  <si>
    <t>Requirements complete / Approvals open</t>
  </si>
  <si>
    <t>A-12</t>
  </si>
  <si>
    <t>Establish source/change control.</t>
  </si>
  <si>
    <t>Register, authority, version, decision log, supersession.</t>
  </si>
  <si>
    <t>PMO</t>
  </si>
  <si>
    <t>Partial / Decision and version control open</t>
  </si>
  <si>
    <t>None</t>
  </si>
  <si>
    <t>REVISED SIX-PHASE DELIVERY BASELINE</t>
  </si>
  <si>
    <t>Primary change</t>
  </si>
  <si>
    <t>PHASE 2: PROCESS AUTOMATION</t>
  </si>
  <si>
    <t>3-6 Months</t>
  </si>
  <si>
    <t>Eliminate manual effort, improve transaction processing speed, reduce operational costs, increase processing accuracy, and establish scalable automation capabilities through workflow automation, robotic process automation (RPA), intelligent validation, and automated monitoring.</t>
  </si>
  <si>
    <t>Milestone 2.1: Order Management Automation</t>
  </si>
  <si>
    <t>Transform order processing into a highly automated, rules-driven workflow with minimal manual intervention.</t>
  </si>
  <si>
    <t>Digital Order Capture</t>
  </si>
  <si>
    <t>Automated Order Intake Platform</t>
  </si>
  <si>
    <t>Email Order Extraction Engine</t>
  </si>
  <si>
    <t>Email ingestion, structured extraction, OCR capture</t>
  </si>
  <si>
    <t>Elimination of manual order entry</t>
  </si>
  <si>
    <t>Intelligent Document Processing</t>
  </si>
  <si>
    <t>OCR Validation Platform</t>
  </si>
  <si>
    <t>OCR Engine</t>
  </si>
  <si>
    <t>Document extraction, image processing, template detection</t>
  </si>
  <si>
    <t>Faster order capture</t>
  </si>
  <si>
    <t>Automated Validation</t>
  </si>
  <si>
    <t>Business Rules Framework</t>
  </si>
  <si>
    <t>Validation Rules Engine</t>
  </si>
  <si>
    <t>Business rule validation, duplicate detection, compliance checks</t>
  </si>
  <si>
    <t>Reduced processing errors</t>
  </si>
  <si>
    <t>Order Release Automation</t>
  </si>
  <si>
    <t>Automated Release Workflow</t>
  </si>
  <si>
    <t>Release Decision Engine</t>
  </si>
  <si>
    <t>Approval workflows, auto-release rules</t>
  </si>
  <si>
    <t>Improved order cycle time</t>
  </si>
  <si>
    <t>RPA Processing</t>
  </si>
  <si>
    <t>Order Processing Automation</t>
  </si>
  <si>
    <t>Order Processing Bot</t>
  </si>
  <si>
    <t>System updates, transaction posting, workflow execution</t>
  </si>
  <si>
    <t>Increased productivity</t>
  </si>
  <si>
    <t>Exception Management</t>
  </si>
  <si>
    <t>Exception Monitoring Console</t>
  </si>
  <si>
    <t>Exception Dashboard</t>
  </si>
  <si>
    <t>Exception queues, intervention management</t>
  </si>
  <si>
    <t>Improved control visibility</t>
  </si>
  <si>
    <t>Order Tracking</t>
  </si>
  <si>
    <t>Order Status Portal</t>
  </si>
  <si>
    <t>Order Workflow Dashboard</t>
  </si>
  <si>
    <t>Status updates, SLA tracking, alerts</t>
  </si>
  <si>
    <t>Improved operational transparency</t>
  </si>
  <si>
    <t>Notification Automation</t>
  </si>
  <si>
    <t>Customer Communication Service</t>
  </si>
  <si>
    <t>Notification Engine</t>
  </si>
  <si>
    <t>Auto confirmations, status updates, escalations</t>
  </si>
  <si>
    <t>Better customer experience</t>
  </si>
  <si>
    <t>Audit &amp; Compliance Automation</t>
  </si>
  <si>
    <t>Process Audit Framework</t>
  </si>
  <si>
    <t>Audit Repository</t>
  </si>
  <si>
    <t>Automated audit evidence collection</t>
  </si>
  <si>
    <t>Regulatory compliance support</t>
  </si>
  <si>
    <t>Integration Automation</t>
  </si>
  <si>
    <t>Enterprise Integration Layer</t>
  </si>
  <si>
    <t>API Gateway</t>
  </si>
  <si>
    <t>ERP/CRM integration services</t>
  </si>
  <si>
    <t>Seamless data movement</t>
  </si>
  <si>
    <t>Milestone 2.1 KPI Framework</t>
  </si>
  <si>
    <t>Improvement Target</t>
  </si>
  <si>
    <t>Processing Accuracy</t>
  </si>
  <si>
    <t>Order Cycle Time Reduction</t>
  </si>
  <si>
    <t>Automation Coverage</t>
  </si>
  <si>
    <t>Manual Intervention Reduction</t>
  </si>
  <si>
    <t>Backlog Reduction</t>
  </si>
  <si>
    <t>Exception Resolution Time</t>
  </si>
  <si>
    <t>Processing Throughput</t>
  </si>
  <si>
    <t>Data Quality Score</t>
  </si>
  <si>
    <t>Milestone 2.1 Risks &amp; Mitigations</t>
  </si>
  <si>
    <t>Human review workflow</t>
  </si>
  <si>
    <t>Complex business rules</t>
  </si>
  <si>
    <t>Phased rule implementation</t>
  </si>
  <si>
    <t>API testing framework</t>
  </si>
  <si>
    <t>Data quality issues</t>
  </si>
  <si>
    <t>Validation controls</t>
  </si>
  <si>
    <t>Process exceptions growth</t>
  </si>
  <si>
    <t>Exception automation</t>
  </si>
  <si>
    <t>Low automation adoption</t>
  </si>
  <si>
    <t>User training and change management</t>
  </si>
  <si>
    <t>Regulatory compliance gaps</t>
  </si>
  <si>
    <t>Compliance validation checkpoints</t>
  </si>
  <si>
    <t>Automation failures</t>
  </si>
  <si>
    <t>Monitoring and fallback procedures</t>
  </si>
  <si>
    <t>Milestone 2.2: Complaint &amp; Warranty Automation</t>
  </si>
  <si>
    <t>Digitize complaint management and warranty processing to improve customer responsiveness, traceability, compliance, and service quality.</t>
  </si>
  <si>
    <t>Digital Complaint Intake</t>
  </si>
  <si>
    <t>Complaint Intake Portal</t>
  </si>
  <si>
    <t>Digital Service Portal</t>
  </si>
  <si>
    <t>Web forms, mobile submission, service requests</t>
  </si>
  <si>
    <t>Faster complaint registration</t>
  </si>
  <si>
    <t>Intelligent Classification</t>
  </si>
  <si>
    <t>Complaint Categorization Engine</t>
  </si>
  <si>
    <t>Complaint Classifier</t>
  </si>
  <si>
    <t>Rule-based classification, category assignment</t>
  </si>
  <si>
    <t>Reduced manual triage</t>
  </si>
  <si>
    <t>Automated Case Routing</t>
  </si>
  <si>
    <t>Workflow Routing Engine</t>
  </si>
  <si>
    <t>Routing Service</t>
  </si>
  <si>
    <t>Queue assignment, dynamic routing</t>
  </si>
  <si>
    <t>Warranty Management</t>
  </si>
  <si>
    <t>Warranty Processing Platform</t>
  </si>
  <si>
    <t>Warranty Workflow Engine</t>
  </si>
  <si>
    <t>Warranty validation and approvals</t>
  </si>
  <si>
    <t>Reduced warranty processing effort</t>
  </si>
  <si>
    <t>Device Registration Automation</t>
  </si>
  <si>
    <t>Asset Verification Service</t>
  </si>
  <si>
    <t>Device Validation Engine</t>
  </si>
  <si>
    <t>Warranty lookup and validation</t>
  </si>
  <si>
    <t>Improved tracking accuracy</t>
  </si>
  <si>
    <t>Escalation Automation</t>
  </si>
  <si>
    <t>Escalation Framework</t>
  </si>
  <si>
    <t>Escalation Engine</t>
  </si>
  <si>
    <t>SLA-driven escalations</t>
  </si>
  <si>
    <t>Faster response times</t>
  </si>
  <si>
    <t>Customer Communication</t>
  </si>
  <si>
    <t>Customer Engagement Portal</t>
  </si>
  <si>
    <t>Notification Service</t>
  </si>
  <si>
    <t>Updates, reminders, closure notifications</t>
  </si>
  <si>
    <t>Enhanced customer satisfaction</t>
  </si>
  <si>
    <t>Case Tracking</t>
  </si>
  <si>
    <t>Case Monitoring Dashboard</t>
  </si>
  <si>
    <t>Complaint Dashboard</t>
  </si>
  <si>
    <t>Workflow tracking and SLA monitoring</t>
  </si>
  <si>
    <t>Full complaint visibility</t>
  </si>
  <si>
    <t>Compliance Monitoring</t>
  </si>
  <si>
    <t>Regulatory Control Framework</t>
  </si>
  <si>
    <t>Compliance Tracker</t>
  </si>
  <si>
    <t>Regulatory validation and audit trails</t>
  </si>
  <si>
    <t>Reduced compliance risk</t>
  </si>
  <si>
    <t>Management Reporting</t>
  </si>
  <si>
    <t>Service Analytics Portal</t>
  </si>
  <si>
    <t>Complaint Reporting Hub</t>
  </si>
  <si>
    <t>Trend analysis and KPI reporting</t>
  </si>
  <si>
    <t>Improved decision making</t>
  </si>
  <si>
    <t>Milestone 2.2 KPI Framework</t>
  </si>
  <si>
    <t>Complaint Intake SLA</t>
  </si>
  <si>
    <t>Case Routing Accuracy</t>
  </si>
  <si>
    <t>Warranty Closure SLA</t>
  </si>
  <si>
    <t>Complaint Processing Time</t>
  </si>
  <si>
    <t>Device Validation Accuracy</t>
  </si>
  <si>
    <t>Escalation Response Time</t>
  </si>
  <si>
    <t>Customer Satisfaction Score</t>
  </si>
  <si>
    <t>Complaint Backlog Reduction</t>
  </si>
  <si>
    <t>Milestone 2.2 Risks &amp; Mitigations</t>
  </si>
  <si>
    <t>Regulatory compliance issues</t>
  </si>
  <si>
    <t>Validation checkpoints</t>
  </si>
  <si>
    <t>Poor classification accuracy</t>
  </si>
  <si>
    <t>Rules tuning and monitoring</t>
  </si>
  <si>
    <t>Missing customer information</t>
  </si>
  <si>
    <t>Dynamic mandatory forms</t>
  </si>
  <si>
    <t>Escalation delays</t>
  </si>
  <si>
    <t>Automated escalation engine</t>
  </si>
  <si>
    <t>Warranty policy exceptions</t>
  </si>
  <si>
    <t>Manual review workflow</t>
  </si>
  <si>
    <t>Data integration issues</t>
  </si>
  <si>
    <t>API governance</t>
  </si>
  <si>
    <t>Customer adoption challenges</t>
  </si>
  <si>
    <t>User experience optimization</t>
  </si>
  <si>
    <t>Workflow bottlenecks</t>
  </si>
  <si>
    <t>Capacity monitoring</t>
  </si>
  <si>
    <t>Milestone 2.3: Inventory &amp; Asset Lifecycle Automation</t>
  </si>
  <si>
    <t>Automate inventory visibility, asset tracking, procurement follow-up, lifecycle monitoring, and retrieval processes.</t>
  </si>
  <si>
    <t>Inventory Monitoring</t>
  </si>
  <si>
    <t>Real-Time Inventory Dashboard</t>
  </si>
  <si>
    <t>Inventory Portal</t>
  </si>
  <si>
    <t>Inventory visibility and stock tracking</t>
  </si>
  <si>
    <t>Improved asset visibility</t>
  </si>
  <si>
    <t>Inventory Reconciliation</t>
  </si>
  <si>
    <t>Reconciliation Framework</t>
  </si>
  <si>
    <t>Inventory Engine</t>
  </si>
  <si>
    <t>Automated reconciliation and audits</t>
  </si>
  <si>
    <t>Reduced discrepancies</t>
  </si>
  <si>
    <t>Audit Scheduling</t>
  </si>
  <si>
    <t>Automated Audit Platform</t>
  </si>
  <si>
    <t>Audit Scheduler</t>
  </si>
  <si>
    <t>Audit planning and reminders</t>
  </si>
  <si>
    <t>Proactive Notification Framework</t>
  </si>
  <si>
    <t>Expiry alerts, stock alerts</t>
  </si>
  <si>
    <t>Reduced missed actions</t>
  </si>
  <si>
    <t>Retrieval Automation</t>
  </si>
  <si>
    <t>Asset Recovery Workflow</t>
  </si>
  <si>
    <t>Retrieval Service</t>
  </si>
  <si>
    <t>Automated retrieval requests</t>
  </si>
  <si>
    <t>Faster recovery cycle</t>
  </si>
  <si>
    <t>Procurement Follow-Up</t>
  </si>
  <si>
    <t>Vendor Follow-Up Bot</t>
  </si>
  <si>
    <t>PO Reminder Bot</t>
  </si>
  <si>
    <t>Supplier reminders and escalations</t>
  </si>
  <si>
    <t>Reduced procurement delays</t>
  </si>
  <si>
    <t>Asset Lifecycle Tracking</t>
  </si>
  <si>
    <t>Asset Lifecycle Portal</t>
  </si>
  <si>
    <t>Tracking Dashboard</t>
  </si>
  <si>
    <t>Deploy, move, return, retire lifecycle management</t>
  </si>
  <si>
    <t>Complete asset visibility</t>
  </si>
  <si>
    <t>Inventory Forecasting</t>
  </si>
  <si>
    <t>Capacity Forecast Service</t>
  </si>
  <si>
    <t>Forecast Engine</t>
  </si>
  <si>
    <t>Demand projections and stock forecasting</t>
  </si>
  <si>
    <t>Inventory optimization</t>
  </si>
  <si>
    <t>Return Management</t>
  </si>
  <si>
    <t>Asset Return Workflow</t>
  </si>
  <si>
    <t>Return Management Platform</t>
  </si>
  <si>
    <t>Returns processing and validation</t>
  </si>
  <si>
    <t>Reduced asset loss</t>
  </si>
  <si>
    <t>Inventory Compliance</t>
  </si>
  <si>
    <t>Asset Compliance Portal</t>
  </si>
  <si>
    <t>Compliance Dashboard</t>
  </si>
  <si>
    <t>Audit reports and control monitoring</t>
  </si>
  <si>
    <t>Improved governance</t>
  </si>
  <si>
    <t>Milestone 2.3 KPI Framework</t>
  </si>
  <si>
    <t>Asset Recovery Timeliness</t>
  </si>
  <si>
    <t>Audit Compliance</t>
  </si>
  <si>
    <t>Notification Delivery Success</t>
  </si>
  <si>
    <t>Asset Lifecycle Visibility</t>
  </si>
  <si>
    <t>Procurement Follow-Up Success</t>
  </si>
  <si>
    <t>Asset Loss Reduction</t>
  </si>
  <si>
    <t>Manual Inventory Effort Reduction</t>
  </si>
  <si>
    <t>Asset Recovery SLA</t>
  </si>
  <si>
    <t>Milestone 2.3 Risks &amp; Mitigations</t>
  </si>
  <si>
    <t>Asset data inaccuracies</t>
  </si>
  <si>
    <t>Automated reconciliation</t>
  </si>
  <si>
    <t>Missing inventory records</t>
  </si>
  <si>
    <t>Asset discovery process</t>
  </si>
  <si>
    <t>Failed notifications</t>
  </si>
  <si>
    <t>Multi-channel notifications</t>
  </si>
  <si>
    <t>Supplier responsiveness</t>
  </si>
  <si>
    <t>Escalation workflows</t>
  </si>
  <si>
    <t>Device recovery delays</t>
  </si>
  <si>
    <t>SLA-driven retrieval controls</t>
  </si>
  <si>
    <t>Inventory synchronization issues</t>
  </si>
  <si>
    <t>Real-time integrations</t>
  </si>
  <si>
    <t>Audit failures</t>
  </si>
  <si>
    <t>Compliance automation</t>
  </si>
  <si>
    <t>Asset loss</t>
  </si>
  <si>
    <t>Lifecycle governance controls</t>
  </si>
  <si>
    <t>Phase 2 Enterprise Governance Controls</t>
  </si>
  <si>
    <t>Control Area</t>
  </si>
  <si>
    <t>Governance Control</t>
  </si>
  <si>
    <t>Evidence</t>
  </si>
  <si>
    <t>Automation Governance</t>
  </si>
  <si>
    <t>Automation Design Authority</t>
  </si>
  <si>
    <t>Approved automation designs</t>
  </si>
  <si>
    <t>Process Governance</t>
  </si>
  <si>
    <t>Business Process Approval</t>
  </si>
  <si>
    <t>Signed workflow approvals</t>
  </si>
  <si>
    <t>RPA Governance</t>
  </si>
  <si>
    <t>Bot Registration &amp; Ownership</t>
  </si>
  <si>
    <t>Bot inventory</t>
  </si>
  <si>
    <t>Change Management</t>
  </si>
  <si>
    <t>Automation Release Approval</t>
  </si>
  <si>
    <t>CAB approvals</t>
  </si>
  <si>
    <t>Automation Risk Assessment</t>
  </si>
  <si>
    <t>Risk register</t>
  </si>
  <si>
    <t>Audit Evidence Collection</t>
  </si>
  <si>
    <t>Audit reports</t>
  </si>
  <si>
    <t>Security</t>
  </si>
  <si>
    <t>Access Control Validation</t>
  </si>
  <si>
    <t>Access review reports</t>
  </si>
  <si>
    <t>Operational Readiness</t>
  </si>
  <si>
    <t>Production Readiness Review</t>
  </si>
  <si>
    <t>Go-live approvals</t>
  </si>
  <si>
    <t>Phase 2 Exit Criteria</t>
  </si>
  <si>
    <t>Order automation operational</t>
  </si>
  <si>
    <t>RPA platform deployed</t>
  </si>
  <si>
    <t>Complaint intake digitized</t>
  </si>
  <si>
    <t>Warranty workflow automated</t>
  </si>
  <si>
    <t>Inventory monitoring operational</t>
  </si>
  <si>
    <t>Asset tracking implemented</t>
  </si>
  <si>
    <t>Notification services operational</t>
  </si>
  <si>
    <t>Integration layer deployed</t>
  </si>
  <si>
    <t>Automation governance established</t>
  </si>
  <si>
    <t>Minimum 50% manual effort reduction achieved</t>
  </si>
  <si>
    <t>Business Outcomes Delivered by Phase 2</t>
  </si>
  <si>
    <t>1. Significant reduction in manual processing effort.</t>
  </si>
  <si>
    <t>2. Transaction processing accelerated by 20-30%.</t>
  </si>
  <si>
    <t>3. Automation platform established for enterprise-wide reuse.</t>
  </si>
  <si>
    <t>4. Increased accuracy and compliance across operational workflows.</t>
  </si>
  <si>
    <t>5. Enhanced customer experience through faster turnaround times.</t>
  </si>
  <si>
    <t>6. Reduced operational costs through RPA and workflow automation.</t>
  </si>
  <si>
    <t>7. Improved inventory and asset lifecycle visibility.</t>
  </si>
  <si>
    <t>8. Exception-based management adopted instead of manual monitoring.</t>
  </si>
  <si>
    <t>9. Foundation established for AI-driven operations in Phase 3.</t>
  </si>
  <si>
    <t>10. Enterprise automation governance and control framework operational</t>
  </si>
  <si>
    <t>Unified case management implementation</t>
  </si>
  <si>
    <t>Customer-to-resolution workflow across operational domains</t>
  </si>
  <si>
    <t>Link order, complaint, warranty, device, return, inventory, and communication events to the customer/case record</t>
  </si>
  <si>
    <t>Complaint intake SLA &gt;99%; case routing accuracy &gt;98%; improved traceability</t>
  </si>
  <si>
    <t>Opportunity rows 6–11 and 215</t>
  </si>
  <si>
    <t>Validate integration and exception handling</t>
  </si>
  <si>
    <t>Order entry automation</t>
  </si>
  <si>
    <t>OCR, order extraction, and API entry</t>
  </si>
  <si>
    <t>Ingest email orders, validate fields, post transactions, and route exceptions</t>
  </si>
  <si>
    <t>70–90% automation potential; order cycle time -30%; manual intervention -50%</t>
  </si>
  <si>
    <t>Opportunity rows 35–41</t>
  </si>
  <si>
    <t>Approve controls and human-review thresholds</t>
  </si>
  <si>
    <t>Government-order validation</t>
  </si>
  <si>
    <t>Pricing, eligibility, PO, and compliance rules engine</t>
  </si>
  <si>
    <t>Automate government-order validation and retain evidence for exceptions</t>
  </si>
  <si>
    <t>Near-zero manual validation; improved government-order timeliness and accuracy</t>
  </si>
  <si>
    <t>Opportunity rows 43–50</t>
  </si>
  <si>
    <t>Approve policy rules and compliance sign-off</t>
  </si>
  <si>
    <t>Returns processing automation</t>
  </si>
  <si>
    <t>Automated return authorization and downstream posting</t>
  </si>
  <si>
    <t>Create RMA, update inventory, and generate refund case automatically</t>
  </si>
  <si>
    <t>Daily return posting; reduced cycle time, errors, and manual touches</t>
  </si>
  <si>
    <t>Opportunity rows 52–56</t>
  </si>
  <si>
    <t>Approve finance and inventory controls</t>
  </si>
  <si>
    <t>PO pending follow-up</t>
  </si>
  <si>
    <t>Reminder, aging, and escalation automation</t>
  </si>
  <si>
    <t>Track pending POs, send reminders, age cases, and escalate at thresholds</t>
  </si>
  <si>
    <t>Reduced aging; improved billing closure and cash flow</t>
  </si>
  <si>
    <t>Opportunity rows 58–64 and 225</t>
  </si>
  <si>
    <t>Approve escalation thresholds and ownership</t>
  </si>
  <si>
    <t>Device tracking automation</t>
  </si>
  <si>
    <t>OCR and intelligent device-data capture</t>
  </si>
  <si>
    <t>Extract physician, serial number, and device ID and populate tracking records</t>
  </si>
  <si>
    <t>Device-tracking accuracy &gt;99%; reduced manual entry</t>
  </si>
  <si>
    <t>Opportunity rows 66–74 and 224</t>
  </si>
  <si>
    <t>Approve validation and regulatory controls</t>
  </si>
  <si>
    <t>Customer account administration</t>
  </si>
  <si>
    <t>Account/contact/user/permission request workflow</t>
  </si>
  <si>
    <t>Capture and route updates while displaying mastered relationships</t>
  </si>
  <si>
    <t>Reduced account rework and improved onboarding</t>
  </si>
  <si>
    <t>Consulting Flows row 31</t>
  </si>
  <si>
    <t>Approve MDM ownership and access controls</t>
  </si>
  <si>
    <t>Consignment contract and pricing support</t>
  </si>
  <si>
    <t>Contract intake, initial shipment request, price display and validation</t>
  </si>
  <si>
    <t>Integrate approved upstream data and exception handling</t>
  </si>
  <si>
    <t>Improved commercial accuracy without changing source-of-truth ownership</t>
  </si>
  <si>
    <t>Consulting Flows rows 36–37</t>
  </si>
  <si>
    <t>Approve contract and pricing boundaries</t>
  </si>
  <si>
    <t>Order submission and changes</t>
  </si>
  <si>
    <t>Validate, submit, confirm, modify, cancel, and reschedule</t>
  </si>
  <si>
    <t>Enforce authorization, cutoff, commercial, financial, and availability rules</t>
  </si>
  <si>
    <t>Higher first-pass acceptance and fewer corrections</t>
  </si>
  <si>
    <t>Consulting Flows rows 41 and 48</t>
  </si>
  <si>
    <t>Approve order-change authority</t>
  </si>
  <si>
    <t>Receivable and payment visibility</t>
  </si>
  <si>
    <t>Invoice, balance, aging, payment initiation/status and handoff</t>
  </si>
  <si>
    <t>Provide governed self-service while Finance retains accounting ownership</t>
  </si>
  <si>
    <t>Fewer billing inquiries and better transparency</t>
  </si>
  <si>
    <t>Consulting Flows rows 65–66</t>
  </si>
  <si>
    <t>Approve Finance, security, and privacy controls</t>
  </si>
  <si>
    <t>Serial-driven return initiation</t>
  </si>
  <si>
    <t>Return-window display and return request capture</t>
  </si>
  <si>
    <t>Validate serial and customer COT; hand off to SAP</t>
  </si>
  <si>
    <t>Higher return-intake accuracy and lower effort</t>
  </si>
  <si>
    <t>Consulting Flows rows 68–69</t>
  </si>
  <si>
    <t>Approve eligibility and integration rules</t>
  </si>
  <si>
    <t>Delivery and usage support</t>
  </si>
  <si>
    <t>Tracking plus bill-and-replace, warranty, claims, and device workflow</t>
  </si>
  <si>
    <t>Link shipment, procedure, serial, warranty, and case events</t>
  </si>
  <si>
    <t>Improved delivery transparency and post-procedure completion</t>
  </si>
  <si>
    <t>Consulting Flows rows 60 and 63</t>
  </si>
  <si>
    <t>Approve supply-chain, warranty, and quality controls</t>
  </si>
  <si>
    <r>
      <t xml:space="preserve">Absolutely. Phase 3 should clearly move beyond automation into </t>
    </r>
    <r>
      <rPr>
        <b/>
        <sz val="12"/>
        <color theme="1"/>
        <rFont val="Tenorite"/>
      </rPr>
      <t>AI-assisted operations</t>
    </r>
    <r>
      <rPr>
        <sz val="12"/>
        <color theme="1"/>
        <rFont val="Tenorite"/>
      </rPr>
      <t>, where AI augments customers, agents, quality teams, supervisors, and governance functions while keeping human oversight, compliance, and control intact.</t>
    </r>
  </si>
  <si>
    <t>PHASE 3: AI ENABLED OPERATIONS</t>
  </si>
  <si>
    <r>
      <t>Timeline:</t>
    </r>
    <r>
      <rPr>
        <sz val="12"/>
        <color theme="1"/>
        <rFont val="Tenorite"/>
      </rPr>
      <t xml:space="preserve"> 6-12 Months</t>
    </r>
  </si>
  <si>
    <t>Augment the human workforce with AI-enabled service capabilities that improve customer self-service, agent productivity, quality monitoring, compliance assurance, knowledge retrieval, and operational decision-making. This phase introduces AI assistants, virtual agents, RAG-based knowledge retrieval, conversational analytics, automated QA, and AI governance controls while ensuring human-in-the-loop oversight.</t>
  </si>
  <si>
    <t>Milestone 3.1: Customer Self-Service &amp; Digital Customer Engagement</t>
  </si>
  <si>
    <t>Enable customers to resolve routine queries, check order or case status, access warranty information, and receive guided support through AI-enabled self-service channels, reducing dependency on live agents and improving customer experience.</t>
  </si>
  <si>
    <t>Digital Customer Engagement</t>
  </si>
  <si>
    <t>AI Customer Self-Service Platform</t>
  </si>
  <si>
    <t>Customer Self-Service Portal</t>
  </si>
  <si>
    <t>Case status, order status, warranty inquiry, service request tracking</t>
  </si>
  <si>
    <t>Improved customer convenience and 24x7 service access</t>
  </si>
  <si>
    <t>Conversational AI</t>
  </si>
  <si>
    <t>mentor-bot</t>
  </si>
  <si>
    <t>Customer Chatbot</t>
  </si>
  <si>
    <t>Natural language interaction, guided query resolution, FAQ handling</t>
  </si>
  <si>
    <t>Reduced live-agent dependency</t>
  </si>
  <si>
    <t>Virtual Agent</t>
  </si>
  <si>
    <t>AI Voice Bot</t>
  </si>
  <si>
    <t>Voice Bot Platform</t>
  </si>
  <si>
    <t>Automated call handling, IVR enhancement, speech-based query support</t>
  </si>
  <si>
    <t>30-50% call deflection for routine queries</t>
  </si>
  <si>
    <t>Omnichannel Service</t>
  </si>
  <si>
    <t>Omnichannel Interaction Hub</t>
  </si>
  <si>
    <t>Omnichannel Service Hub</t>
  </si>
  <si>
    <t>Chat, web, email, WhatsApp, voice channel integration</t>
  </si>
  <si>
    <t>Unified customer journey</t>
  </si>
  <si>
    <t>Knowledge Search</t>
  </si>
  <si>
    <t>Semantic Knowledge Retrieval Service</t>
  </si>
  <si>
    <t>Knowledge Search Engine</t>
  </si>
  <si>
    <t>Semantic SOP search, FAQ retrieval, policy lookup</t>
  </si>
  <si>
    <t>Lower average handling time and higher first-contact resolution</t>
  </si>
  <si>
    <t>Customer Context Management</t>
  </si>
  <si>
    <t>Customer Identity &amp; Context Service</t>
  </si>
  <si>
    <t>Customer 360 Profile</t>
  </si>
  <si>
    <t>Customer history, product ownership, interaction context</t>
  </si>
  <si>
    <t>Personalized and context-aware service</t>
  </si>
  <si>
    <t>Conversation History</t>
  </si>
  <si>
    <t>Unified Conversation Repository</t>
  </si>
  <si>
    <t>Interaction History Store</t>
  </si>
  <si>
    <t>Conversation logs, query history, channel history</t>
  </si>
  <si>
    <t>Improved continuity across channels</t>
  </si>
  <si>
    <t>Self-Resolution Guidance</t>
  </si>
  <si>
    <t>Guided Resolution Engine</t>
  </si>
  <si>
    <t>Self-Service Recommendation Engine</t>
  </si>
  <si>
    <t>Step-by-step troubleshooting, guided workflows</t>
  </si>
  <si>
    <t>Higher self-service adoption</t>
  </si>
  <si>
    <t>Digital Notifications</t>
  </si>
  <si>
    <t>Customer Notification Service</t>
  </si>
  <si>
    <t>Proactive alerts, case updates, order status notifications</t>
  </si>
  <si>
    <t>Better customer transparency</t>
  </si>
  <si>
    <t>AI Governance</t>
  </si>
  <si>
    <t>AI Service Governance Framework</t>
  </si>
  <si>
    <t>AI Governance Portal</t>
  </si>
  <si>
    <t>Guardrails, approvals, model usage logs, audit trails</t>
  </si>
  <si>
    <t>Safe and controlled AI deployment</t>
  </si>
  <si>
    <t>Milestone 3.1 KPI Framework</t>
  </si>
  <si>
    <t>Target / Expected Improvement</t>
  </si>
  <si>
    <t>Self-Service</t>
  </si>
  <si>
    <t>Self-Service Adoption</t>
  </si>
  <si>
    <t>Customer Service</t>
  </si>
  <si>
    <t>Call Deflection</t>
  </si>
  <si>
    <t>Average Speed of Answer</t>
  </si>
  <si>
    <t>Live-Agent Contact Reduction</t>
  </si>
  <si>
    <t>30-50% for routine queries</t>
  </si>
  <si>
    <t>Service Quality</t>
  </si>
  <si>
    <t>Query Resolution Accuracy</t>
  </si>
  <si>
    <t>Knowledge</t>
  </si>
  <si>
    <t>Knowledge Search Success Rate</t>
  </si>
  <si>
    <t>Channel Experience</t>
  </si>
  <si>
    <t>Omnichannel Continuity</t>
  </si>
  <si>
    <t>Availability</t>
  </si>
  <si>
    <t>Self-Service Availability</t>
  </si>
  <si>
    <t>AI Response Auditability</t>
  </si>
  <si>
    <t>100% logged</t>
  </si>
  <si>
    <t>Milestone 3.1 Risks &amp; Mitigations</t>
  </si>
  <si>
    <t>Use grounded knowledge retrieval, approved SOPs, and human escalation paths</t>
  </si>
  <si>
    <t>Poor customer adoption</t>
  </si>
  <si>
    <t>Improve user experience, provide channel awareness, and promote self-service options</t>
  </si>
  <si>
    <t>Incomplete knowledge base</t>
  </si>
  <si>
    <t>Build curated SOP, FAQ, policy, and process knowledge repositories</t>
  </si>
  <si>
    <t>AI hallucination risk</t>
  </si>
  <si>
    <t>Implement RAG grounding, response guardrails, confidence thresholds, and fallback routing</t>
  </si>
  <si>
    <t>Customer frustration due to bot limitations</t>
  </si>
  <si>
    <t>Provide seamless escalation to live agent</t>
  </si>
  <si>
    <t>Data privacy risk</t>
  </si>
  <si>
    <t>Apply masking, consent, access control, and audit logging</t>
  </si>
  <si>
    <t>Channel fragmentation</t>
  </si>
  <si>
    <t>Use omnichannel integration and unified conversation history</t>
  </si>
  <si>
    <t>Lack of AI ownership</t>
  </si>
  <si>
    <t>Define AI product owner, bot owner, knowledge owner, and compliance owner</t>
  </si>
  <si>
    <t>Milestone 3.2: Agent Assist &amp; Real-Time AI Guidance</t>
  </si>
  <si>
    <t>Empower agents with AI-assisted knowledge retrieval, recommended responses, next-best actions, compliance prompts, customer context, and real-time coaching to improve speed, accuracy, quality, and consistency of service delivery.</t>
  </si>
  <si>
    <t>Real-Time Agent Guidance</t>
  </si>
  <si>
    <t>mentor-assist Copilot</t>
  </si>
  <si>
    <t>Agent Assist Copilot</t>
  </si>
  <si>
    <t>Real-time guidance, case interpretation, suggested next steps</t>
  </si>
  <si>
    <t>Improved agent productivity</t>
  </si>
  <si>
    <t>Knowledge Retrieval</t>
  </si>
  <si>
    <t>Retrieval-Augmented Generation Platform</t>
  </si>
  <si>
    <t>RAG Platform</t>
  </si>
  <si>
    <t>Grounded response generation using SOPs, FAQs, policies, and historical cases</t>
  </si>
  <si>
    <t>Faster knowledge access</t>
  </si>
  <si>
    <t>Suggested Responses</t>
  </si>
  <si>
    <t>Response Recommendation Engine</t>
  </si>
  <si>
    <t>LLM Response Generator</t>
  </si>
  <si>
    <t>Suggested replies, tone-consistent responses, template recommendations</t>
  </si>
  <si>
    <t>Reduced response drafting time</t>
  </si>
  <si>
    <t>Next Best Action</t>
  </si>
  <si>
    <t>Next Best Action Engine</t>
  </si>
  <si>
    <t>Recommendation Engine</t>
  </si>
  <si>
    <t>Context-aware action suggestions, workflow guidance, escalation recommendation</t>
  </si>
  <si>
    <t>Improved case handling accuracy</t>
  </si>
  <si>
    <t>Compliance Assistance</t>
  </si>
  <si>
    <t>Compliance Validation Service</t>
  </si>
  <si>
    <t>Real-Time Compliance Checker</t>
  </si>
  <si>
    <t>Mandatory checks, policy validation, compliance alerts</t>
  </si>
  <si>
    <t>Reduced compliance breaches</t>
  </si>
  <si>
    <t>Customer Context</t>
  </si>
  <si>
    <t>Agent Desktop Integration</t>
  </si>
  <si>
    <t>Agent Desktop AI Extension</t>
  </si>
  <si>
    <t>Customer profile, case history, interaction history, order/warranty context</t>
  </si>
  <si>
    <t>Improved first-contact resolution</t>
  </si>
  <si>
    <t>Quality Guidance</t>
  </si>
  <si>
    <t>Quality Prompting Assistant</t>
  </si>
  <si>
    <t>QA Guidance Service</t>
  </si>
  <si>
    <t>Real-time coaching prompts, quality reminders, script adherence</t>
  </si>
  <si>
    <t>Better QA scores</t>
  </si>
  <si>
    <t>Training Support</t>
  </si>
  <si>
    <t>Agent Learning Assistant</t>
  </si>
  <si>
    <t>Microlearning Recommendation Engine</t>
  </si>
  <si>
    <t>Knowledge gaps, training recommendations, refresher prompts</t>
  </si>
  <si>
    <t>Reduced training time</t>
  </si>
  <si>
    <t>Feedback Loop</t>
  </si>
  <si>
    <t>AI Feedback Learning Loop</t>
  </si>
  <si>
    <t>Feedback Capture Service</t>
  </si>
  <si>
    <t>Agent feedback, answer rating, knowledge gap logging</t>
  </si>
  <si>
    <t>Continuous AI improvement</t>
  </si>
  <si>
    <t>Supervisor Visibility</t>
  </si>
  <si>
    <t>Agent Assist Analytics Dashboard</t>
  </si>
  <si>
    <t>Performance Insights Dashboard</t>
  </si>
  <si>
    <t>AI usage, adoption, response accuracy, productivity trends</t>
  </si>
  <si>
    <t>Better operational oversight</t>
  </si>
  <si>
    <t>Milestone 3.2 KPI Framework</t>
  </si>
  <si>
    <t>Expected Improvement</t>
  </si>
  <si>
    <t>Average Handling Time</t>
  </si>
  <si>
    <t>Resolution</t>
  </si>
  <si>
    <t>Accuracy</t>
  </si>
  <si>
    <t>Case Handling Accuracy</t>
  </si>
  <si>
    <t>Knowledge Retrieval Time</t>
  </si>
  <si>
    <t>Training</t>
  </si>
  <si>
    <t>New Agent Training Time</t>
  </si>
  <si>
    <t>Compliance Adherence</t>
  </si>
  <si>
    <t>Adoption</t>
  </si>
  <si>
    <t>Agent Assist Usage</t>
  </si>
  <si>
    <t>After-Call Work Reduction</t>
  </si>
  <si>
    <t>Experience</t>
  </si>
  <si>
    <t>Agent Satisfaction</t>
  </si>
  <si>
    <t>Milestone 3.2 Risks &amp; Mitigations</t>
  </si>
  <si>
    <t>Agents over-rely on AI suggestions</t>
  </si>
  <si>
    <t>Maintain human accountability and require agent validation</t>
  </si>
  <si>
    <t>AI provides outdated knowledge</t>
  </si>
  <si>
    <t>Establish controlled knowledge publishing and review cycles</t>
  </si>
  <si>
    <t>Poor RAG grounding</t>
  </si>
  <si>
    <t>Use approved content repositories, metadata tagging, and retrieval testing</t>
  </si>
  <si>
    <t>Low agent adoption</t>
  </si>
  <si>
    <t>Provide training, embedded workflows, and feedback mechanisms</t>
  </si>
  <si>
    <t>Compliance misses</t>
  </si>
  <si>
    <t>Implement real-time compliance checker and mandatory validation controls</t>
  </si>
  <si>
    <t>Inconsistent suggested responses</t>
  </si>
  <si>
    <t>Standardize templates, tone guidelines, and response policies</t>
  </si>
  <si>
    <t>Model drift</t>
  </si>
  <si>
    <t>Monitor answer quality, feedback trends, and retrain/tune retrieval logic</t>
  </si>
  <si>
    <t>Lack of auditability</t>
  </si>
  <si>
    <t>Capture prompts, responses, approvals, and usage logs</t>
  </si>
  <si>
    <t>Milestone 3.3: AI Quality Management &amp; Intelligent Quality Operations</t>
  </si>
  <si>
    <t>Move from manual sample-based quality checks to AI-assisted quality operations where every interaction can be analyzed for quality, compliance, sentiment, root cause, and improvement opportunities.</t>
  </si>
  <si>
    <t>AI Quality Management</t>
  </si>
  <si>
    <t>AI Quality Operations Platform</t>
  </si>
  <si>
    <t>Quality Copilot Platform</t>
  </si>
  <si>
    <t>AI-assisted audit, quality scoring, review support</t>
  </si>
  <si>
    <t>Increased QA coverage and faster audits</t>
  </si>
  <si>
    <t>Conversational Analytics</t>
  </si>
  <si>
    <t>Conversational Intelligence Platform</t>
  </si>
  <si>
    <t>Speech and Text Analytics Engine</t>
  </si>
  <si>
    <t>Call analysis, transcript analytics, interaction mining</t>
  </si>
  <si>
    <t>Deeper insight into customer interactions</t>
  </si>
  <si>
    <t>Automated QA</t>
  </si>
  <si>
    <t>AI QA Evaluator</t>
  </si>
  <si>
    <t>Automated QA Engine</t>
  </si>
  <si>
    <t>Automated scoring, checklist validation, quality rule checks</t>
  </si>
  <si>
    <t>Increased QA coverage</t>
  </si>
  <si>
    <t>Speech Analytics</t>
  </si>
  <si>
    <t>Speech Analytics Service</t>
  </si>
  <si>
    <t>Voice Analytics Engine</t>
  </si>
  <si>
    <t>Voice-to-text processing, keyword detection, call pattern analysis</t>
  </si>
  <si>
    <t>Improved quality visibility</t>
  </si>
  <si>
    <t>Sentiment Detection</t>
  </si>
  <si>
    <t>Sentiment Analytics Engine</t>
  </si>
  <si>
    <t>Sentiment Detection Service</t>
  </si>
  <si>
    <t>Customer sentiment indicators, escalation signals</t>
  </si>
  <si>
    <t>Proactive quality intervention</t>
  </si>
  <si>
    <t>Compliance Detection Engine</t>
  </si>
  <si>
    <t>Compliance Monitor</t>
  </si>
  <si>
    <t>Non-compliance detection, script adherence, mandatory disclosure checks</t>
  </si>
  <si>
    <t>Root Cause Analytics</t>
  </si>
  <si>
    <t>Root Cause Clustering Engine</t>
  </si>
  <si>
    <t>Defect Clustering Service</t>
  </si>
  <si>
    <t>Defect grouping, recurring issue identification, trend analytics</t>
  </si>
  <si>
    <t>Reduced repeat defects</t>
  </si>
  <si>
    <t>Interaction Insights</t>
  </si>
  <si>
    <t>Interaction Analytics Dashboard</t>
  </si>
  <si>
    <t>Quality Insights Dashboard</t>
  </si>
  <si>
    <t>QA trends, defect heatmaps, team-level quality views</t>
  </si>
  <si>
    <t>Better management decisions</t>
  </si>
  <si>
    <t>Auditor Assistance</t>
  </si>
  <si>
    <t>Quality Copilot</t>
  </si>
  <si>
    <t>Auditor Assist AI</t>
  </si>
  <si>
    <t>Audit recommendations, evidence summaries, scoring support</t>
  </si>
  <si>
    <t>Reduced manual QA effort</t>
  </si>
  <si>
    <t>Quality Improvement Backlog</t>
  </si>
  <si>
    <t>Improvement Management Portal</t>
  </si>
  <si>
    <t>Defect backlog, action tracking, improvement themes</t>
  </si>
  <si>
    <t>Closed-loop quality improvement</t>
  </si>
  <si>
    <t>Milestone 3.3 KPI Framework</t>
  </si>
  <si>
    <t>Quality Coverage</t>
  </si>
  <si>
    <t>100% interaction coverage where technically feasible</t>
  </si>
  <si>
    <t>Quality Accuracy</t>
  </si>
  <si>
    <t>QA Scoring Accuracy</t>
  </si>
  <si>
    <t>Audit Effort Reduction</t>
  </si>
  <si>
    <t>Defect Management</t>
  </si>
  <si>
    <t>Quality Defect Reduction</t>
  </si>
  <si>
    <t>Compliance Detection Coverage</t>
  </si>
  <si>
    <t>Root Cause</t>
  </si>
  <si>
    <t>Defect Clustering Accuracy</t>
  </si>
  <si>
    <t>Coaching</t>
  </si>
  <si>
    <t>Coaching Action Closure</t>
  </si>
  <si>
    <t>Analytics</t>
  </si>
  <si>
    <t>Interaction Analytics Availability</t>
  </si>
  <si>
    <t>AI QA Audit Trail</t>
  </si>
  <si>
    <t>Improvement</t>
  </si>
  <si>
    <t>Repeat Defect Reduction</t>
  </si>
  <si>
    <t>Milestone 3.3 Risks &amp; Mitigations</t>
  </si>
  <si>
    <t>AI misclassifies quality issues</t>
  </si>
  <si>
    <t>Use QA calibration, human review, and threshold-based exception handling</t>
  </si>
  <si>
    <t>Bias in quality scoring</t>
  </si>
  <si>
    <t>Conduct fairness checks, sampling review, and scoring calibration</t>
  </si>
  <si>
    <t>Incomplete interaction data</t>
  </si>
  <si>
    <t>Ensure call, chat, email, and case data integration</t>
  </si>
  <si>
    <t>Low trust from QA teams</t>
  </si>
  <si>
    <t>Maintain transparent scoring logic and human override</t>
  </si>
  <si>
    <t>Compliance false negatives</t>
  </si>
  <si>
    <t>Use mandatory compliance rules, periodic validation, and manual sampling</t>
  </si>
  <si>
    <t>Poor transcript quality</t>
  </si>
  <si>
    <t>Improve speech-to-text accuracy and language model tuning</t>
  </si>
  <si>
    <t>Lack of action closure</t>
  </si>
  <si>
    <t>Link QA findings to improvement backlog and governance reviews</t>
  </si>
  <si>
    <t>Privacy and recording concerns</t>
  </si>
  <si>
    <t>Apply consent, data retention, access controls, and audit logging</t>
  </si>
  <si>
    <t>Phase 3 Enterprise Governance Controls</t>
  </si>
  <si>
    <t>Evidence Required</t>
  </si>
  <si>
    <t>AI Use Case Approval</t>
  </si>
  <si>
    <t>Approved AI use case register</t>
  </si>
  <si>
    <t>Model Governance</t>
  </si>
  <si>
    <t>Model Risk Assessment</t>
  </si>
  <si>
    <t>Model assessment report</t>
  </si>
  <si>
    <t>Knowledge Governance</t>
  </si>
  <si>
    <t>Approved Knowledge Source Control</t>
  </si>
  <si>
    <t>SOP, FAQ, policy repository approval logs</t>
  </si>
  <si>
    <t>Prompt Governance</t>
  </si>
  <si>
    <t>Prompt and Response Guardrails</t>
  </si>
  <si>
    <t>Prompt catalogue and guardrail rules</t>
  </si>
  <si>
    <t>Human Oversight</t>
  </si>
  <si>
    <t>Human-in-the-Loop Review</t>
  </si>
  <si>
    <t>Review logs and escalation records</t>
  </si>
  <si>
    <t>AI Compliance Validation</t>
  </si>
  <si>
    <t>Compliance test results</t>
  </si>
  <si>
    <t>Access Control and Data Protection</t>
  </si>
  <si>
    <t>Access review reports and data masking evidence</t>
  </si>
  <si>
    <t>Auditability</t>
  </si>
  <si>
    <t>Prompt, Response, and Decision Logging</t>
  </si>
  <si>
    <t>AI audit logs</t>
  </si>
  <si>
    <t>Quality Assurance</t>
  </si>
  <si>
    <t>AI Output Testing</t>
  </si>
  <si>
    <t>Accuracy, hallucination, and regression test reports</t>
  </si>
  <si>
    <t>AI Release Approval</t>
  </si>
  <si>
    <t>CAB / design authority approval records</t>
  </si>
  <si>
    <t>Privacy</t>
  </si>
  <si>
    <t>Customer Data Protection Controls</t>
  </si>
  <si>
    <t>Consent, retention, and privacy impact assessment records</t>
  </si>
  <si>
    <t>AI Production Readiness Review</t>
  </si>
  <si>
    <t>Go-live checklist and support model approval</t>
  </si>
  <si>
    <t>Phase 3 RACI View</t>
  </si>
  <si>
    <t>Activity / Control</t>
  </si>
  <si>
    <t>Business Owner</t>
  </si>
  <si>
    <t>Operations Lead</t>
  </si>
  <si>
    <t>AI Product Owner</t>
  </si>
  <si>
    <t>Knowledge Owner</t>
  </si>
  <si>
    <t>Compliance / Risk</t>
  </si>
  <si>
    <t>IT / Platform Team</t>
  </si>
  <si>
    <t>Approve AI self-service use cases</t>
  </si>
  <si>
    <t>A</t>
  </si>
  <si>
    <t>C</t>
  </si>
  <si>
    <t>R</t>
  </si>
  <si>
    <t>A/C</t>
  </si>
  <si>
    <t>Maintain mentor-bot knowledge</t>
  </si>
  <si>
    <t>Deploy mentor-assist</t>
  </si>
  <si>
    <t>A/R</t>
  </si>
  <si>
    <t>Validate AI responses</t>
  </si>
  <si>
    <t>Monitor AI quality</t>
  </si>
  <si>
    <t>Review compliance exceptions</t>
  </si>
  <si>
    <t>Manage model release</t>
  </si>
  <si>
    <t>Maintain audit evidence</t>
  </si>
  <si>
    <t>Track adoption and KPI benefits</t>
  </si>
  <si>
    <t>Approve production readiness</t>
  </si>
  <si>
    <t>Phase 3 Exit Criteria</t>
  </si>
  <si>
    <t>mentor-bot deployed for customer self-service</t>
  </si>
  <si>
    <t>Virtual agent live for routine interactions</t>
  </si>
  <si>
    <t>Omnichannel interaction hub enabled</t>
  </si>
  <si>
    <t>Self-service portal operational</t>
  </si>
  <si>
    <t>mentor-assist deployed for agents</t>
  </si>
  <si>
    <t>RAG platform connected to approved knowledge sources</t>
  </si>
  <si>
    <t>Suggested response capability enabled</t>
  </si>
  <si>
    <t>Next-best-action engine operational</t>
  </si>
  <si>
    <t>Real-time compliance checking enabled</t>
  </si>
  <si>
    <t>AI QA evaluator operational</t>
  </si>
  <si>
    <t>Conversational analytics dashboard available</t>
  </si>
  <si>
    <t>AI governance framework established</t>
  </si>
  <si>
    <t>Human-in-the-loop review process operational</t>
  </si>
  <si>
    <t>AI audit logs enabled</t>
  </si>
  <si>
    <t>Knowledge base quality reviewed and approved</t>
  </si>
  <si>
    <t>AI accuracy and compliance testing completed</t>
  </si>
  <si>
    <t>Key Business Outcomes Delivered by Phase 3</t>
  </si>
  <si>
    <t>1. Customers can resolve routine queries through AI-enabled self-service.</t>
  </si>
  <si>
    <t>2. Call volumes and live-agent dependency are reduced through mentor-bot and virtual agent capabilities.</t>
  </si>
  <si>
    <t>3. Agents receive real-time support using mentor-assist, RAG, next-best-action, and suggested responses.</t>
  </si>
  <si>
    <t>4. Average handling time is reduced through faster knowledge retrieval and guided resolution.</t>
  </si>
  <si>
    <t>5. First-contact resolution improves through better customer context and AI recommendations.</t>
  </si>
  <si>
    <t>6. Quality teams move from sample-based QA to AI-assisted high-coverage QA.</t>
  </si>
  <si>
    <t>7. Compliance monitoring becomes more proactive through real-time validation and automated detection.</t>
  </si>
  <si>
    <t>8. Supervisors gain better visibility through interaction analytics and quality dashboards.</t>
  </si>
  <si>
    <t>9. Knowledge gaps are continuously identified through AI feedback loops.</t>
  </si>
  <si>
    <t>10. The enterprise becomes ready for Phase 4, where operations can evolve toward predictive, proactive, and semi-autonomous decisioning.</t>
  </si>
  <si>
    <t>Phase 3 Summary for Workbook Row Structure</t>
  </si>
  <si>
    <t>If you want to place this directly into your workbook, the compact row structure can be:</t>
  </si>
  <si>
    <t>Timeline</t>
  </si>
  <si>
    <t>Feature</t>
  </si>
  <si>
    <t>Target / Improvement</t>
  </si>
  <si>
    <t>Phase 3: AI Enabled Operations</t>
  </si>
  <si>
    <t>6-12 Months</t>
  </si>
  <si>
    <t>3.1 Customer Self-Service</t>
  </si>
  <si>
    <t>Case, order, warranty and complaint status inquiry</t>
  </si>
  <si>
    <t>Improve UX and provide assisted escalation</t>
  </si>
  <si>
    <t>Usage analytics</t>
  </si>
  <si>
    <t>FAQ, SOP and service query handling</t>
  </si>
  <si>
    <t>Use approved knowledge sources and human escalation</t>
  </si>
  <si>
    <t>Bot response logs</t>
  </si>
  <si>
    <t>Voice Bot</t>
  </si>
  <si>
    <t>AI Voice Bot Platform</t>
  </si>
  <si>
    <t>Automated call handling</t>
  </si>
  <si>
    <t>Low containment rate</t>
  </si>
  <si>
    <t>Improve intent design and training data</t>
  </si>
  <si>
    <t>Call analytics</t>
  </si>
  <si>
    <t>3.2 Agent Assist</t>
  </si>
  <si>
    <t>Real-time case guidance</t>
  </si>
  <si>
    <t>Agent over-reliance on AI</t>
  </si>
  <si>
    <t>Human validation and SOP grounding</t>
  </si>
  <si>
    <t>Agent assist logs</t>
  </si>
  <si>
    <t>Grounded knowledge retrieval</t>
  </si>
  <si>
    <t>Poor knowledge quality</t>
  </si>
  <si>
    <t>Knowledge governance and content review</t>
  </si>
  <si>
    <t>Knowledge source approval</t>
  </si>
  <si>
    <t>Suggested customer replies</t>
  </si>
  <si>
    <t>Inconsistent responses</t>
  </si>
  <si>
    <t>Template and tone governance</t>
  </si>
  <si>
    <t>Response audit logs</t>
  </si>
  <si>
    <t>3.3 AI Quality Operations</t>
  </si>
  <si>
    <t>Automated scoring and checklist validation</t>
  </si>
  <si>
    <t>AI scoring errors</t>
  </si>
  <si>
    <t>QA calibration and human review</t>
  </si>
  <si>
    <t>QA scoring logs</t>
  </si>
  <si>
    <t>Non-compliance detection</t>
  </si>
  <si>
    <t>Compliance Coverage</t>
  </si>
  <si>
    <t>False negatives</t>
  </si>
  <si>
    <t>Periodic validation and manual sampling</t>
  </si>
  <si>
    <t>Defect grouping and trend detection</t>
  </si>
  <si>
    <t>Defect Reduction</t>
  </si>
  <si>
    <t>Poor clustering quality</t>
  </si>
  <si>
    <t>Tuning and SME validation</t>
  </si>
  <si>
    <t>RCA dashboard</t>
  </si>
  <si>
    <r>
      <t xml:space="preserve">This version is now consistent with the same structure used for Phase 1 and Phase 2, but it is strengthened with </t>
    </r>
    <r>
      <rPr>
        <b/>
        <sz val="12"/>
        <color theme="1"/>
        <rFont val="Tenorite"/>
      </rPr>
      <t>AI governance, human oversight, evidence requirements, RACI ownership, KPIs, risks, mitigations, and exit criteria</t>
    </r>
    <r>
      <rPr>
        <sz val="12"/>
        <color theme="1"/>
        <rFont val="Tenorite"/>
      </rPr>
      <t xml:space="preserve"> so that Phase 3 can stand as an enterprise-ready AI operations roadmap.</t>
    </r>
  </si>
  <si>
    <t>Customer 360 and unified history</t>
  </si>
  <si>
    <t>Customer 360 Platform, Unified Conversation Repository, and Context Service</t>
  </si>
  <si>
    <t>Consolidate chat, web, email, WhatsApp, voice, order, complaint, warranty, and device history</t>
  </si>
  <si>
    <t>Omnichannel continuity &gt;95%; improved FCR and CSAT; reduced AHT</t>
  </si>
  <si>
    <t>Opportunity row 215</t>
  </si>
  <si>
    <t>Approve identity, consent, retention, and access model</t>
  </si>
  <si>
    <t>Customer self-service agent</t>
  </si>
  <si>
    <t>mentor-bot across web, chat, mobile, WhatsApp, and Teams</t>
  </si>
  <si>
    <t>Enable status, returns, warranty, inventory, FAQ, and guided-resolution interactions</t>
  </si>
  <si>
    <t>30–50% contact deflection; call deflection &gt;30%; self-service adoption &gt;35%</t>
  </si>
  <si>
    <t>Opportunity rows 145–151</t>
  </si>
  <si>
    <t>Approve containment and human-escalation rules</t>
  </si>
  <si>
    <t>mentor-assist with real-time guidance</t>
  </si>
  <si>
    <t>Provide suggested responses, SOP guidance, knowledge retrieval, compliance checks, and next-best action</t>
  </si>
  <si>
    <t>AHT -15% to -30%; accuracy +20% to +40%; FCR +10% to +20%; training time -40% to -60%</t>
  </si>
  <si>
    <t>Opportunity rows 153–159</t>
  </si>
  <si>
    <t>Approve knowledge grounding and answer review</t>
  </si>
  <si>
    <t>Domain copilots</t>
  </si>
  <si>
    <t>Warranty, complaint intake, and device-tracking copilots</t>
  </si>
  <si>
    <t>Summarize claims, identify missing information, extract entities, populate forms, and generate notes</t>
  </si>
  <si>
    <t>Faster intake and processing; improved consistency; device accuracy &gt;99%</t>
  </si>
  <si>
    <t>Opportunity rows 161–181</t>
  </si>
  <si>
    <t>Approve domain-specific validation and human review</t>
  </si>
  <si>
    <t>Enterprise Knowledge Copilot</t>
  </si>
  <si>
    <t>RAG over approved SOPs, policies, pricing, escalation procedures, and historical cases</t>
  </si>
  <si>
    <t>Connect knowledge portal and interaction history with controlled publishing and citations</t>
  </si>
  <si>
    <t>Knowledge search success &gt;90%; faster resolution; reduced training burden</t>
  </si>
  <si>
    <t>Opportunity rows 183–192 and 216</t>
  </si>
  <si>
    <t>Approve knowledge owners and publishing cycle</t>
  </si>
  <si>
    <t>AI QA evaluator, speech analytics, and conversational intelligence</t>
  </si>
  <si>
    <t>Analyze all technically available interactions for quality, compliance, sentiment, and defects</t>
  </si>
  <si>
    <t>QA coverage 100%; reduced audit effort; improved compliance monitoring</t>
  </si>
  <si>
    <t>Opportunity row 217</t>
  </si>
  <si>
    <t>Approve calibration, sampling, and appeal process</t>
  </si>
  <si>
    <t>Executive Governance Copilot</t>
  </si>
  <si>
    <t>Governance Copilot and executive review generator</t>
  </si>
  <si>
    <t>Automate daily, weekly, monthly, and quarterly review packs with source traceability</t>
  </si>
  <si>
    <t>Reporting effort -70% to -90%; faster decision-making</t>
  </si>
  <si>
    <t>Opportunity rows 194–199 and 222</t>
  </si>
  <si>
    <t>Approve report certification and human sign-off</t>
  </si>
  <si>
    <t>Persona-guided digital assistance</t>
  </si>
  <si>
    <t>Surgeon, office-manager, sales-rep, CSR, and patient guidance</t>
  </si>
  <si>
    <t>Use unified context for product, account, order, service, education, warranty, and status</t>
  </si>
  <si>
    <t>Improved self-service, continuity, and assisted-resolution accuracy</t>
  </si>
  <si>
    <t>Consulting Flows persona and journey catalogue</t>
  </si>
  <si>
    <t>Approve content, consent, and human escalation</t>
  </si>
  <si>
    <r>
      <t xml:space="preserve">Excellent progression. If Phase 3 was </t>
    </r>
    <r>
      <rPr>
        <b/>
        <sz val="12"/>
        <color theme="1"/>
        <rFont val="Tenorite"/>
      </rPr>
      <t>AI-Assisted Operations</t>
    </r>
    <r>
      <rPr>
        <sz val="12"/>
        <color theme="1"/>
        <rFont val="Tenorite"/>
      </rPr>
      <t xml:space="preserve"> (AI helping humans make decisions), then Phase 4 should evolve into </t>
    </r>
    <r>
      <rPr>
        <b/>
        <sz val="12"/>
        <color theme="1"/>
        <rFont val="Tenorite"/>
      </rPr>
      <t>Predictive Operations</t>
    </r>
    <r>
      <rPr>
        <sz val="12"/>
        <color theme="1"/>
        <rFont val="Tenorite"/>
      </rPr>
      <t>, where AI identifies risks, forecasts outcomes, recommends interventions, and enables management to act before problems materialize.</t>
    </r>
  </si>
  <si>
    <t>PHASE 4: PREDICTIVE OPERATIONS</t>
  </si>
  <si>
    <r>
      <t>Timeline:</t>
    </r>
    <r>
      <rPr>
        <sz val="12"/>
        <color theme="1"/>
        <rFont val="Tenorite"/>
      </rPr>
      <t xml:space="preserve"> 12–18 Months</t>
    </r>
  </si>
  <si>
    <t>Transition from reactive and AI-assisted operations to predictive operations by leveraging machine learning, forecasting, digital twins, predictive analytics, and operational intelligence platforms to anticipate demand, workforce challenges, SLA risks, inventory issues, customer behavior, and business performance deviations before they occur.</t>
  </si>
  <si>
    <t>Milestone 4.1: Predictive Workforce Intelligence</t>
  </si>
  <si>
    <t>Enable proactive workforce planning, demand forecasting, staffing optimization, schedule management, attrition prevention, and operational capacity forecasting.</t>
  </si>
  <si>
    <t>Demand Forecasting</t>
  </si>
  <si>
    <t>Workforce Forecasting Platform</t>
  </si>
  <si>
    <t>Forecasting Engine</t>
  </si>
  <si>
    <t>Volume prediction, demand forecasting, workload modeling</t>
  </si>
  <si>
    <t>Improved workforce planning accuracy</t>
  </si>
  <si>
    <t>Capacity Management</t>
  </si>
  <si>
    <t>Capacity Planning Engine</t>
  </si>
  <si>
    <t>Workforce Planner</t>
  </si>
  <si>
    <t>Headcount optimization, staffing calculations</t>
  </si>
  <si>
    <t>Optimized staffing levels</t>
  </si>
  <si>
    <t>Schedule Optimization</t>
  </si>
  <si>
    <t>Intelligent Scheduling Platform</t>
  </si>
  <si>
    <t>Schedule Optimizer</t>
  </si>
  <si>
    <t>Dynamic schedules, shift optimization, workload balancing</t>
  </si>
  <si>
    <t>Improved utilization and occupancy</t>
  </si>
  <si>
    <t>Attrition Analytics</t>
  </si>
  <si>
    <t>Attrition Risk Predictor</t>
  </si>
  <si>
    <t>Attrition Predictor</t>
  </si>
  <si>
    <t>Workforce risk scoring, retention alerts</t>
  </si>
  <si>
    <t>Reduced workforce attrition</t>
  </si>
  <si>
    <t>Occupancy Intelligence</t>
  </si>
  <si>
    <t>Occupancy Optimization Model</t>
  </si>
  <si>
    <t>Workforce Intelligence Engine</t>
  </si>
  <si>
    <t>Occupancy balancing and productivity analysis</t>
  </si>
  <si>
    <t>Better operational efficiency</t>
  </si>
  <si>
    <t>Workforce Copilot</t>
  </si>
  <si>
    <t>Workforce Planning Copilot</t>
  </si>
  <si>
    <t>AI Workforce Assistant</t>
  </si>
  <si>
    <t>Staffing recommendations, planning assistance</t>
  </si>
  <si>
    <t>Faster management decisions</t>
  </si>
  <si>
    <t>Productivity Analytics</t>
  </si>
  <si>
    <t>Workforce Performance Hub</t>
  </si>
  <si>
    <t>Productivity Analytics Platform</t>
  </si>
  <si>
    <t>Productivity trends, variance analysis</t>
  </si>
  <si>
    <t>Increased workforce effectiveness</t>
  </si>
  <si>
    <t>Talent Risk Analytics</t>
  </si>
  <si>
    <t>Talent Risk Monitor</t>
  </si>
  <si>
    <t>Workforce Risk Engine</t>
  </si>
  <si>
    <t>Burnout prediction, retention modeling</t>
  </si>
  <si>
    <t>Reduced workforce risk</t>
  </si>
  <si>
    <t>Skills Forecasting</t>
  </si>
  <si>
    <t>Skills Demand Predictor</t>
  </si>
  <si>
    <t>Skills Intelligence Platform</t>
  </si>
  <si>
    <t>Future skill demand analysis</t>
  </si>
  <si>
    <t>Better workforce readiness</t>
  </si>
  <si>
    <t>Executive Workforce Dashboard</t>
  </si>
  <si>
    <t>Workforce Command Center</t>
  </si>
  <si>
    <t>Workforce KPIs, forecasts, alerts</t>
  </si>
  <si>
    <t>Enhanced executive visibility</t>
  </si>
  <si>
    <t>Milestone 4.1 KPI Framework</t>
  </si>
  <si>
    <t>Workforce Occupancy</t>
  </si>
  <si>
    <t>75%-85%</t>
  </si>
  <si>
    <t>Attrition Reduction</t>
  </si>
  <si>
    <t>Overtime Reduction</t>
  </si>
  <si>
    <t>Workforce Utilization</t>
  </si>
  <si>
    <t>Capacity Forecast Accuracy</t>
  </si>
  <si>
    <t>Staffing Optimization Efficiency</t>
  </si>
  <si>
    <t>Employee Satisfaction</t>
  </si>
  <si>
    <t>Workforce Planning Cycle Time</t>
  </si>
  <si>
    <t>Milestone 4.1 Risks &amp; Mitigations</t>
  </si>
  <si>
    <t>Poor forecasting accuracy</t>
  </si>
  <si>
    <t>Continuous model retraining</t>
  </si>
  <si>
    <t>Insufficient historical data</t>
  </si>
  <si>
    <t>Data enrichment program</t>
  </si>
  <si>
    <t>Workforce resistance</t>
  </si>
  <si>
    <t>Transparent forecasting methodology</t>
  </si>
  <si>
    <t>Forecast bias</t>
  </si>
  <si>
    <t>Model governance controls</t>
  </si>
  <si>
    <t>Low planning adoption</t>
  </si>
  <si>
    <t>Workforce management training</t>
  </si>
  <si>
    <t>Skills mismatch</t>
  </si>
  <si>
    <t>Skills inventory management</t>
  </si>
  <si>
    <t>Master data governance</t>
  </si>
  <si>
    <t>Continuous monitoring and tuning</t>
  </si>
  <si>
    <t>Milestone 4.2: Predictive SLA &amp; Service Risk Management</t>
  </si>
  <si>
    <t>Predict SLA breaches, backlog growth, escalations, customer dissatisfaction, and commercial penalties before they occur, allowing proactive intervention.</t>
  </si>
  <si>
    <t>SLA Risk Prediction</t>
  </si>
  <si>
    <t>SLA Risk Management Platform</t>
  </si>
  <si>
    <t>SLA Predictor</t>
  </si>
  <si>
    <t>Breach forecasting, trend prediction</t>
  </si>
  <si>
    <t>Reduced SLA failures</t>
  </si>
  <si>
    <t>Escalation Prevention</t>
  </si>
  <si>
    <t>Escalation Prediction Engine</t>
  </si>
  <si>
    <t>Escalation Predictor</t>
  </si>
  <si>
    <t>Risk scoring, proactive alerts</t>
  </si>
  <si>
    <t>Fewer escalations</t>
  </si>
  <si>
    <t>Backlog Forecasting</t>
  </si>
  <si>
    <t>Capacity Risk Planning Platform</t>
  </si>
  <si>
    <t>Backlog Predictor</t>
  </si>
  <si>
    <t>Workload forecasting and queue prediction</t>
  </si>
  <si>
    <t>Better planning accuracy</t>
  </si>
  <si>
    <t>Service Credit Prevention</t>
  </si>
  <si>
    <t>Commercial Risk Engine</t>
  </si>
  <si>
    <t>Service Credit Predictor</t>
  </si>
  <si>
    <t>Financial impact prediction</t>
  </si>
  <si>
    <t>Reduced commercial penalties</t>
  </si>
  <si>
    <t>Operational Risk Monitoring</t>
  </si>
  <si>
    <t>Operational Risk Intelligence Platform</t>
  </si>
  <si>
    <t>Risk Prediction Service</t>
  </si>
  <si>
    <t>Service health monitoring</t>
  </si>
  <si>
    <t>Improved operational resilience</t>
  </si>
  <si>
    <t>Predictive Alerts</t>
  </si>
  <si>
    <t>Intelligent Notification Platform</t>
  </si>
  <si>
    <t>Predictive Alert Manager</t>
  </si>
  <si>
    <t>Proactive interventions</t>
  </si>
  <si>
    <t>Faster corrective action</t>
  </si>
  <si>
    <t>Operational Control Tower</t>
  </si>
  <si>
    <t>Executive Operations Hub</t>
  </si>
  <si>
    <t>Service Control Tower</t>
  </si>
  <si>
    <t>Enterprise visibility and forecasting</t>
  </si>
  <si>
    <t>Better decision making</t>
  </si>
  <si>
    <t>Customer Risk Prediction</t>
  </si>
  <si>
    <t>Customer Experience Risk Engine</t>
  </si>
  <si>
    <t>Customer Predictor</t>
  </si>
  <si>
    <t>CSAT decline forecasting</t>
  </si>
  <si>
    <t>Improved customer retention</t>
  </si>
  <si>
    <t>Incident Trend Intelligence</t>
  </si>
  <si>
    <t>Incident Analytics Platform</t>
  </si>
  <si>
    <t>Incident Prediction Engine</t>
  </si>
  <si>
    <t>Trend monitoring, recurrence prediction</t>
  </si>
  <si>
    <t>Reduced operational incidents</t>
  </si>
  <si>
    <t>Executive Copilot</t>
  </si>
  <si>
    <t>Executive Decision Support Assistant</t>
  </si>
  <si>
    <t>Decision Intelligence Engine</t>
  </si>
  <si>
    <t>Recommended interventions</t>
  </si>
  <si>
    <t>Accelerated executive decisions</t>
  </si>
  <si>
    <t>Milestone 4.2 KPI Framework</t>
  </si>
  <si>
    <t>SLA Breaches</t>
  </si>
  <si>
    <t>Service Credits</t>
  </si>
  <si>
    <t>Escalations</t>
  </si>
  <si>
    <t>Backlogs</t>
  </si>
  <si>
    <t>Incident Recurrence</t>
  </si>
  <si>
    <t>Customer Complaints</t>
  </si>
  <si>
    <t>Predictive Alert Accuracy</t>
  </si>
  <si>
    <t>Commercial Loss Reduction</t>
  </si>
  <si>
    <t>Proactive Intervention Success</t>
  </si>
  <si>
    <t>Service Availability</t>
  </si>
  <si>
    <t>Milestone 4.2 Risks &amp; Mitigations</t>
  </si>
  <si>
    <t>Prediction inaccuracies</t>
  </si>
  <si>
    <t>Ensemble modeling and validation</t>
  </si>
  <si>
    <t>False positives</t>
  </si>
  <si>
    <t>Confidence-based risk thresholds</t>
  </si>
  <si>
    <t>Human oversight review</t>
  </si>
  <si>
    <t>Alert fatigue</t>
  </si>
  <si>
    <t>Prioritized alert management</t>
  </si>
  <si>
    <t>Operational data governance</t>
  </si>
  <si>
    <t>User distrust</t>
  </si>
  <si>
    <t>Explainable AI controls</t>
  </si>
  <si>
    <t>Commercial impact of errors</t>
  </si>
  <si>
    <t>Decision approval workflows</t>
  </si>
  <si>
    <t>Incomplete integration data</t>
  </si>
  <si>
    <t>Enterprise integration strategy</t>
  </si>
  <si>
    <t>Milestone 4.3: Predictive Inventory Intelligence</t>
  </si>
  <si>
    <t>Improve inventory governance through predictive forecasting, lifecycle analytics, digital twins, risk heatmaps, and AI-driven optimization.</t>
  </si>
  <si>
    <t>Expiry Forecasting</t>
  </si>
  <si>
    <t>Inventory Forecast Platform</t>
  </si>
  <si>
    <t>Expiry Predictor</t>
  </si>
  <si>
    <t>Expiration prediction, depletion forecasting</t>
  </si>
  <si>
    <t>Reduced inventory waste</t>
  </si>
  <si>
    <t>Retrieval Prediction</t>
  </si>
  <si>
    <t>Asset Recovery Intelligence</t>
  </si>
  <si>
    <t>Collection Predictor</t>
  </si>
  <si>
    <t>Return likelihood scoring</t>
  </si>
  <si>
    <t>Increased recovery rates</t>
  </si>
  <si>
    <t>Inventory Risk Management</t>
  </si>
  <si>
    <t>Inventory Risk Engine</t>
  </si>
  <si>
    <t>Inventory Risk Heatmap</t>
  </si>
  <si>
    <t>Risk visualization, trend analysis</t>
  </si>
  <si>
    <t>Inventory Optimization</t>
  </si>
  <si>
    <t>Inventory Optimization Platform</t>
  </si>
  <si>
    <t>Corrective and preventive recommendations</t>
  </si>
  <si>
    <t>Reduced inventory cost</t>
  </si>
  <si>
    <t>Digital Inventory Twin</t>
  </si>
  <si>
    <t>Inventory Simulation Platform</t>
  </si>
  <si>
    <t>Digital Twin Engine</t>
  </si>
  <si>
    <t>Scenario modeling and simulation</t>
  </si>
  <si>
    <t>Better planning decisions</t>
  </si>
  <si>
    <t>Asset Lifecycle Analytics</t>
  </si>
  <si>
    <t>Asset Intelligence Hub</t>
  </si>
  <si>
    <t>Lifecycle Analytics Platform</t>
  </si>
  <si>
    <t>Usage and retirement forecasting</t>
  </si>
  <si>
    <t>Improved asset utilization</t>
  </si>
  <si>
    <t>Procurement Intelligence</t>
  </si>
  <si>
    <t>Demand Planning Engine</t>
  </si>
  <si>
    <t>Procurement Predictor</t>
  </si>
  <si>
    <t>Purchasing recommendations</t>
  </si>
  <si>
    <t>Optimized stock holdings</t>
  </si>
  <si>
    <t>Inventory Compliance Platform</t>
  </si>
  <si>
    <t>Lifecycle compliance validation</t>
  </si>
  <si>
    <t>Reduced audit findings</t>
  </si>
  <si>
    <t>Executive Inventory Dashboard</t>
  </si>
  <si>
    <t>Inventory Control Tower</t>
  </si>
  <si>
    <t>Inventory visibility and KPI reporting</t>
  </si>
  <si>
    <t>Better executive oversight</t>
  </si>
  <si>
    <t>Inventory Copilot</t>
  </si>
  <si>
    <t>Inventory Planning Assistant</t>
  </si>
  <si>
    <t>AI Inventory Advisor</t>
  </si>
  <si>
    <t>What-if analysis and optimization recommendations</t>
  </si>
  <si>
    <t>Improved operational planning</t>
  </si>
  <si>
    <t>Milestone 4.3 KPI Framework</t>
  </si>
  <si>
    <t>Retrieval Success Rate</t>
  </si>
  <si>
    <t>Expired Inventory Reduction</t>
  </si>
  <si>
    <t>Inventory Carrying Cost</t>
  </si>
  <si>
    <t>Stock Availability</t>
  </si>
  <si>
    <t>Procurement Efficiency</t>
  </si>
  <si>
    <t>Inventory Optimization Success</t>
  </si>
  <si>
    <t>Milestone 4.3 Risks &amp; Mitigations</t>
  </si>
  <si>
    <t>Inventory data inaccuracies</t>
  </si>
  <si>
    <t>Forecasting errors</t>
  </si>
  <si>
    <t>Rolling forecast refresh</t>
  </si>
  <si>
    <t>Asset lifecycle gaps</t>
  </si>
  <si>
    <t>Missing procurement data</t>
  </si>
  <si>
    <t>Integration with sourcing platforms</t>
  </si>
  <si>
    <t>Expired stock accumulation</t>
  </si>
  <si>
    <t>Automated intervention workflows</t>
  </si>
  <si>
    <t>Recovery process inefficiencies</t>
  </si>
  <si>
    <t>SLA-based recovery model</t>
  </si>
  <si>
    <t>Poor optimization recommendations</t>
  </si>
  <si>
    <t>Continuous model validation</t>
  </si>
  <si>
    <t>Audit deficiencies</t>
  </si>
  <si>
    <t>Compliance monitoring dashboard</t>
  </si>
  <si>
    <t>Phase 4 Data Products &amp; Analytical Assets</t>
  </si>
  <si>
    <t>Data Product</t>
  </si>
  <si>
    <t>Contact Forecast Dataset</t>
  </si>
  <si>
    <t>Demand prediction</t>
  </si>
  <si>
    <t>Workforce Productivity Dataset</t>
  </si>
  <si>
    <t>Staffing optimization</t>
  </si>
  <si>
    <t>Capacity Planning Dataset</t>
  </si>
  <si>
    <t>Workforce modeling</t>
  </si>
  <si>
    <t>Attrition Dataset</t>
  </si>
  <si>
    <t>Employee risk prediction</t>
  </si>
  <si>
    <t>SLA Performance Dataset</t>
  </si>
  <si>
    <t>SLA forecasting</t>
  </si>
  <si>
    <t>Escalation Dataset</t>
  </si>
  <si>
    <t>Service risk prediction</t>
  </si>
  <si>
    <t>Incident Dataset</t>
  </si>
  <si>
    <t>Predictive incident analytics</t>
  </si>
  <si>
    <t>Inventory Dataset</t>
  </si>
  <si>
    <t>Inventory forecasting</t>
  </si>
  <si>
    <t>Asset Lifecycle Dataset</t>
  </si>
  <si>
    <t>Asset intelligence</t>
  </si>
  <si>
    <t>Customer Experience Dataset</t>
  </si>
  <si>
    <t>Customer risk prediction</t>
  </si>
  <si>
    <t>Phase 4 AI / ML Models</t>
  </si>
  <si>
    <t>Model</t>
  </si>
  <si>
    <t>Demand Forecasting Model</t>
  </si>
  <si>
    <t>Transaction volume prediction</t>
  </si>
  <si>
    <t>Workforce Capacity Model</t>
  </si>
  <si>
    <t>Schedule Optimization Model</t>
  </si>
  <si>
    <t>Dynamic workforce planning</t>
  </si>
  <si>
    <t>Attrition Prediction Model</t>
  </si>
  <si>
    <t>Workforce retention</t>
  </si>
  <si>
    <t>SLA Breach Prediction Model</t>
  </si>
  <si>
    <t>SLA risk forecasting</t>
  </si>
  <si>
    <t>Escalation Prediction Model</t>
  </si>
  <si>
    <t>Escalation prevention</t>
  </si>
  <si>
    <t>Backlog Forecasting Model</t>
  </si>
  <si>
    <t>Queue prediction</t>
  </si>
  <si>
    <t>Service Credit Prediction Model</t>
  </si>
  <si>
    <t>Commercial risk reduction</t>
  </si>
  <si>
    <t>Inventory Optimization Model</t>
  </si>
  <si>
    <t>Inventory planning</t>
  </si>
  <si>
    <t>Digital Twin Simulation Model</t>
  </si>
  <si>
    <t>Scenario analysis</t>
  </si>
  <si>
    <t>Phase 4 Enterprise Governance Controls</t>
  </si>
  <si>
    <t>ML Model Approval Board</t>
  </si>
  <si>
    <t>Approved model inventory</t>
  </si>
  <si>
    <t>AI Risk Management</t>
  </si>
  <si>
    <t>Predictive Risk Assessment</t>
  </si>
  <si>
    <t>Risk assessment reports</t>
  </si>
  <si>
    <t>Data Quality Certification</t>
  </si>
  <si>
    <t>Quality scorecards</t>
  </si>
  <si>
    <t>Explainability</t>
  </si>
  <si>
    <t>Explainable AI Reviews</t>
  </si>
  <si>
    <t>Model explainability reports</t>
  </si>
  <si>
    <t>Monitoring</t>
  </si>
  <si>
    <t>Model Drift Monitoring</t>
  </si>
  <si>
    <t>Drift reports</t>
  </si>
  <si>
    <t>Prediction Review Board</t>
  </si>
  <si>
    <t>Review approvals</t>
  </si>
  <si>
    <t>Data Protection Controls</t>
  </si>
  <si>
    <t>Access review evidence</t>
  </si>
  <si>
    <t>Regulatory Validation</t>
  </si>
  <si>
    <t>Compliance reports</t>
  </si>
  <si>
    <t>Audit</t>
  </si>
  <si>
    <t>Predictive Decision Audit Trail</t>
  </si>
  <si>
    <t>Audit logs</t>
  </si>
  <si>
    <t>Phase 4 Exit Criteria</t>
  </si>
  <si>
    <t>Forecasting engine operational</t>
  </si>
  <si>
    <t>Workforce intelligence platform deployed</t>
  </si>
  <si>
    <t>Workforce Copilot implemented</t>
  </si>
  <si>
    <t>SLA breach prediction operational</t>
  </si>
  <si>
    <t>Escalation prediction enabled</t>
  </si>
  <si>
    <t>Service credit forecasting enabled</t>
  </si>
  <si>
    <t>Operational control tower active</t>
  </si>
  <si>
    <t>Inventory intelligence platform deployed</t>
  </si>
  <si>
    <t>Digital inventory twin operational</t>
  </si>
  <si>
    <t>Predictive alerting framework active</t>
  </si>
  <si>
    <t>Predictive governance controls approved</t>
  </si>
  <si>
    <t>Model monitoring operational</t>
  </si>
  <si>
    <t>Explainability reports implemented</t>
  </si>
  <si>
    <t>Human oversight procedures active</t>
  </si>
  <si>
    <t>Key Business Outcomes Delivered by Phase 4</t>
  </si>
  <si>
    <t>1. Operations become proactive rather than reactive.</t>
  </si>
  <si>
    <t>2. Workforce demand can be forecasted with &gt;90% accuracy.</t>
  </si>
  <si>
    <t>3. SLA breaches are predicted and prevented before occurring.</t>
  </si>
  <si>
    <t>4. Service credits and commercial penalties are significantly reduced.</t>
  </si>
  <si>
    <t>5. Escalations and backlog accumulation are proactively managed.</t>
  </si>
  <si>
    <t>6. Inventory and asset risks are identified before impacting operations.</t>
  </si>
  <si>
    <t>7. Management gains decision-support capabilities through Workforce and Executive Copilots.</t>
  </si>
  <si>
    <t>8. Digital twins enable simulation-driven planning rather than guesswork.</t>
  </si>
  <si>
    <t>9. Predictive insights drive continuous operational optimization.</t>
  </si>
  <si>
    <r>
      <t xml:space="preserve">10. The enterprise becomes ready for </t>
    </r>
    <r>
      <rPr>
        <b/>
        <sz val="12"/>
        <color theme="1"/>
        <rFont val="Tenorite"/>
      </rPr>
      <t>Phase 5 – Autonomous Operations &amp; Self-Healing Enterprise</t>
    </r>
    <r>
      <rPr>
        <sz val="12"/>
        <color theme="1"/>
        <rFont val="Tenorite"/>
      </rPr>
      <t>, where AI agents begin executing approved decisions with human oversight.</t>
    </r>
  </si>
  <si>
    <t>Customer-contact forecasting</t>
  </si>
  <si>
    <t>Volume forecasting across calls, emails, orders, and complaints</t>
  </si>
  <si>
    <t>Train demand models and connect forecasts to capacity and schedule decisions</t>
  </si>
  <si>
    <t>Forecast accuracy &gt;90%; improved ASA and abandonment</t>
  </si>
  <si>
    <t>Opportunity rows 83–90</t>
  </si>
  <si>
    <t>Approve forecast ownership and retraining cadence</t>
  </si>
  <si>
    <t>Attrition prediction</t>
  </si>
  <si>
    <t>Employee retention risk model</t>
  </si>
  <si>
    <t>Use attendance, performance, training, and workload signals with privacy controls</t>
  </si>
  <si>
    <t>Attrition reduction target -20%; proactive retention</t>
  </si>
  <si>
    <t>Opportunity rows 92–97</t>
  </si>
  <si>
    <t>Approve ethical-use and manager intervention rules</t>
  </si>
  <si>
    <t>SLA breach prediction</t>
  </si>
  <si>
    <t>SLA Predictor, Escalation Predictor, and control tower</t>
  </si>
  <si>
    <t>Predict same-day, next-day, and next-week complaint, warranty, government-order, and order-release risks</t>
  </si>
  <si>
    <t>SLA breaches -50%; service credits -75%; proactive intervention &gt;80%</t>
  </si>
  <si>
    <t>Opportunity rows 103–113 and 219</t>
  </si>
  <si>
    <t>Approve thresholds and intervention ownership</t>
  </si>
  <si>
    <t>CSAT and sentiment prediction</t>
  </si>
  <si>
    <t>Sentiment Analytics and Customer Experience Risk Engine</t>
  </si>
  <si>
    <t>Combine hold, transfer, resolution, escalation, and interaction-history signals</t>
  </si>
  <si>
    <t>Customer complaints -25%; proactive intervention &gt;80%; improved retention</t>
  </si>
  <si>
    <t>Opportunity rows 115–120 and 218</t>
  </si>
  <si>
    <t>Approve customer-risk actions and bias monitoring</t>
  </si>
  <si>
    <t>Inventory intelligence</t>
  </si>
  <si>
    <t>Expiry prediction, risk heatmap, and digital inventory twin</t>
  </si>
  <si>
    <t>Predict expiry, non-return probability, recovery risk, and high-risk locations</t>
  </si>
  <si>
    <t>Reduced inventory loss; retrieval success &gt;95%; forecast accuracy &gt;90%</t>
  </si>
  <si>
    <t>Opportunity rows 126–130 and 221</t>
  </si>
  <si>
    <t>Approve inventory actions and override rules</t>
  </si>
  <si>
    <t>Revenue leakage prediction</t>
  </si>
  <si>
    <t>Revenue integrity analytics across orders, billing, returns, and inventory</t>
  </si>
  <si>
    <t>Detect leakage patterns before financial impact and prioritize investigation</t>
  </si>
  <si>
    <t>Reduced revenue leakage and improved financial controls</t>
  </si>
  <si>
    <t>Opportunity rows 226–234</t>
  </si>
  <si>
    <t>Approve finance ownership and materiality thresholds</t>
  </si>
  <si>
    <t>Automated RCA and CAPA intelligence</t>
  </si>
  <si>
    <t>Defect clustering and RCA recommendation engine</t>
  </si>
  <si>
    <t>Cluster repeat issues, draft root causes, and recommend corrective actions for expert approval</t>
  </si>
  <si>
    <t>Faster RCA; reduced repeat defects; improved corrective-action quality</t>
  </si>
  <si>
    <t>Opportunity row 223</t>
  </si>
  <si>
    <t>Approve SME validation and CAPA governance</t>
  </si>
  <si>
    <t>Persona journey risk prediction</t>
  </si>
  <si>
    <t>Predict case-readiness, delivery, inventory, retention, service, and support risks</t>
  </si>
  <si>
    <t>Prioritize named interventions using unified history</t>
  </si>
  <si>
    <t>Fewer preventable delays, complaints, shortages, and relationship risks</t>
  </si>
  <si>
    <t>Consulting Flows journey priorities</t>
  </si>
  <si>
    <t>Approve thresholds, bias monitoring, and intervention owners</t>
  </si>
  <si>
    <r>
      <t xml:space="preserve">Absolutely. Phase 5 should not simply be "more AI." It should represent the transition from </t>
    </r>
    <r>
      <rPr>
        <b/>
        <sz val="12"/>
        <color theme="1"/>
        <rFont val="Tenorite"/>
      </rPr>
      <t>AI-Assisted Operations (Phase 3)</t>
    </r>
    <r>
      <rPr>
        <sz val="12"/>
        <color theme="1"/>
        <rFont val="Tenorite"/>
      </rPr>
      <t xml:space="preserve"> and </t>
    </r>
    <r>
      <rPr>
        <b/>
        <sz val="12"/>
        <color theme="1"/>
        <rFont val="Tenorite"/>
      </rPr>
      <t>Predictive Operations (Phase 4)</t>
    </r>
    <r>
      <rPr>
        <sz val="12"/>
        <color theme="1"/>
        <rFont val="Tenorite"/>
      </rPr>
      <t xml:space="preserve"> into a governed </t>
    </r>
    <r>
      <rPr>
        <b/>
        <sz val="12"/>
        <color theme="1"/>
        <rFont val="Tenorite"/>
      </rPr>
      <t>Digital Workforce Operating Model</t>
    </r>
    <r>
      <rPr>
        <sz val="12"/>
        <color theme="1"/>
        <rFont val="Tenorite"/>
      </rPr>
      <t>, where AI Agents perform approved operational activities autonomously under human supervision, risk controls, and enterprise governance.</t>
    </r>
  </si>
  <si>
    <t>PHASE 5: AGENTIC OPERATIONS</t>
  </si>
  <si>
    <r>
      <t>Timeline:</t>
    </r>
    <r>
      <rPr>
        <sz val="12"/>
        <color theme="1"/>
        <rFont val="Tenorite"/>
      </rPr>
      <t xml:space="preserve"> 18-30 Months</t>
    </r>
  </si>
  <si>
    <t>Milestone 5.1: Agentic Complaint Management</t>
  </si>
  <si>
    <t>Establish an autonomous digital workforce where AI Agents execute operational processes, coordinate workflows, make approved decisions, perform investigations, generate governance outputs, and continuously optimize performance under defined human oversight and enterprise governance controls.</t>
  </si>
  <si>
    <t>Deploy AI Agents capable of managing complaint operations end-to-end, including intake, classification, case creation, investigation support, escalation management, follow-up, and resolution orchestration.</t>
  </si>
  <si>
    <t>Autonomous Complaint Intake</t>
  </si>
  <si>
    <t>Complaint Intake Agent</t>
  </si>
  <si>
    <t>AI Complaint Agent</t>
  </si>
  <si>
    <t>Complaint capture, intent recognition, information extraction</t>
  </si>
  <si>
    <t>Near real-time complaint registration</t>
  </si>
  <si>
    <r>
      <t xml:space="preserve">The objective is not full autonomy, but </t>
    </r>
    <r>
      <rPr>
        <b/>
        <sz val="12"/>
        <color theme="1"/>
        <rFont val="Tenorite"/>
      </rPr>
      <t>Controlled Autonomy with Governance</t>
    </r>
    <r>
      <rPr>
        <sz val="12"/>
        <color theme="1"/>
        <rFont val="Tenorite"/>
      </rPr>
      <t>.</t>
    </r>
  </si>
  <si>
    <t>Autonomous Classification</t>
  </si>
  <si>
    <t>Complaint Classification Agent</t>
  </si>
  <si>
    <t>Classification Agent</t>
  </si>
  <si>
    <t>Category assignment, severity determination, routing decisions</t>
  </si>
  <si>
    <t>Improved accuracy and reduced effort</t>
  </si>
  <si>
    <t>Case Creation Automation</t>
  </si>
  <si>
    <t>Auto Case Builder</t>
  </si>
  <si>
    <t>Case Orchestration Agent</t>
  </si>
  <si>
    <t>Automated case creation, workflow initiation</t>
  </si>
  <si>
    <t>Reduced cycle time</t>
  </si>
  <si>
    <t>Intelligent Routing</t>
  </si>
  <si>
    <t>Escalation Agent</t>
  </si>
  <si>
    <t>Dynamic Routing Engine</t>
  </si>
  <si>
    <t>Queue assignment, escalation path selection</t>
  </si>
  <si>
    <t>Faster case ownership</t>
  </si>
  <si>
    <t>Autonomous Follow-Up</t>
  </si>
  <si>
    <t>Follow-Up Agent</t>
  </si>
  <si>
    <t>Customer Engagement Agent</t>
  </si>
  <si>
    <t>Status updates, reminder generation, evidence follow-up</t>
  </si>
  <si>
    <t>Reduced manual interventions</t>
  </si>
  <si>
    <t>Investigation Support</t>
  </si>
  <si>
    <t>RCA Agent</t>
  </si>
  <si>
    <t>Root Cause Analysis Agent</t>
  </si>
  <si>
    <t>Similar case analysis, historical investigation review</t>
  </si>
  <si>
    <t>Faster root-cause identification</t>
  </si>
  <si>
    <t>Resolution Recommendation</t>
  </si>
  <si>
    <t>Resolution Agent</t>
  </si>
  <si>
    <t>Decision Recommendation Engine</t>
  </si>
  <si>
    <t>Suggested actions and remediation options</t>
  </si>
  <si>
    <t>Improved resolution consistency</t>
  </si>
  <si>
    <t>Regulatory Compliance Review</t>
  </si>
  <si>
    <t>Compliance Review Workflow</t>
  </si>
  <si>
    <t>Human Oversight Workflow</t>
  </si>
  <si>
    <t>Compliance validation before closure</t>
  </si>
  <si>
    <t>Audit Evidence Repository</t>
  </si>
  <si>
    <t>Governance Platform</t>
  </si>
  <si>
    <t>Automated evidence collection</t>
  </si>
  <si>
    <t>Audit readiness</t>
  </si>
  <si>
    <t>Complaint Operations Dashboard</t>
  </si>
  <si>
    <t>Complaint Command Center</t>
  </si>
  <si>
    <t>Agent monitoring, queue visibility, intervention controls</t>
  </si>
  <si>
    <t>Full operational visibility</t>
  </si>
  <si>
    <t>Milestone 5.1 KPI Framework</t>
  </si>
  <si>
    <t>Complaint Intake Accuracy</t>
  </si>
  <si>
    <t>Complaint Classification Accuracy</t>
  </si>
  <si>
    <t>Manual Touches</t>
  </si>
  <si>
    <t>Resolution Cycle Time</t>
  </si>
  <si>
    <t>Compliance Violations</t>
  </si>
  <si>
    <t>Near Zero</t>
  </si>
  <si>
    <t>Autonomous Resolution Rate</t>
  </si>
  <si>
    <t>&gt;60%</t>
  </si>
  <si>
    <t>Audit Evidence Availability</t>
  </si>
  <si>
    <t>Milestone 5.1 Risks &amp; Mitigations</t>
  </si>
  <si>
    <t>Human approval checkpoints</t>
  </si>
  <si>
    <t>Mandatory compliance review workflow</t>
  </si>
  <si>
    <t>Hallucinated recommendations</t>
  </si>
  <si>
    <t>Approved knowledge grounding and RAG</t>
  </si>
  <si>
    <t>Escalation errors</t>
  </si>
  <si>
    <t>Escalation policy engine</t>
  </si>
  <si>
    <t>Customer trust concerns</t>
  </si>
  <si>
    <t>Transparent human escalation path</t>
  </si>
  <si>
    <t>AI accountability gaps</t>
  </si>
  <si>
    <t>Agent identity and audit logging</t>
  </si>
  <si>
    <t>Knowledge quality issues</t>
  </si>
  <si>
    <t>Knowledge governance process</t>
  </si>
  <si>
    <t>Agent performance degradation</t>
  </si>
  <si>
    <t>Continuous monitoring and retraining</t>
  </si>
  <si>
    <t>Milestone 5.2: Agentic Warranty Operations</t>
  </si>
  <si>
    <t>Create an autonomous warranty management capability where AI Agents manage claims, validate eligibility, gather evidence, coordinate approvals, and drive resolution workflows.</t>
  </si>
  <si>
    <t>Warranty Intake</t>
  </si>
  <si>
    <t>Warranty Intake Agent</t>
  </si>
  <si>
    <t>Warranty AI Agent</t>
  </si>
  <si>
    <t>Claim intake, customer interaction, evidence gathering</t>
  </si>
  <si>
    <t>Improved processing speed</t>
  </si>
  <si>
    <t>Document Validation</t>
  </si>
  <si>
    <t>Documentation Agent</t>
  </si>
  <si>
    <t>Validation AI Agent</t>
  </si>
  <si>
    <t>Policy checks, document verification</t>
  </si>
  <si>
    <t>Improved accuracy</t>
  </si>
  <si>
    <t>Eligibility Assessment</t>
  </si>
  <si>
    <t>Eligibility Agent</t>
  </si>
  <si>
    <t>Warranty Rules Agent</t>
  </si>
  <si>
    <t>Coverage validation and entitlement determination</t>
  </si>
  <si>
    <t>Faster decision-making</t>
  </si>
  <si>
    <t>Missing Information Resolution</t>
  </si>
  <si>
    <t>Missing Data Agent</t>
  </si>
  <si>
    <t>Follow-Up Automation Agent</t>
  </si>
  <si>
    <t>Automated information request and tracking</t>
  </si>
  <si>
    <t>Reduced delays</t>
  </si>
  <si>
    <t>Decision Support</t>
  </si>
  <si>
    <t>Approval Copilot</t>
  </si>
  <si>
    <t>Decision Support Agent</t>
  </si>
  <si>
    <t>Recommendation generation and risk scoring</t>
  </si>
  <si>
    <t>Consistent decisions</t>
  </si>
  <si>
    <t>Human Approval Workflow</t>
  </si>
  <si>
    <t>Approval Workflow</t>
  </si>
  <si>
    <t>Governance Approval Service</t>
  </si>
  <si>
    <t>Regulatory and commercial approvals</t>
  </si>
  <si>
    <t>Controlled automation</t>
  </si>
  <si>
    <t>Resolution Processing</t>
  </si>
  <si>
    <t>Closure Agent</t>
  </si>
  <si>
    <t>Resolution Management Agent</t>
  </si>
  <si>
    <t>Closure execution and communication</t>
  </si>
  <si>
    <t>Reduced processing effort</t>
  </si>
  <si>
    <t>Financial Recovery Validation</t>
  </si>
  <si>
    <t>Commercial Risk Agent</t>
  </si>
  <si>
    <t>Financial Validation Service</t>
  </si>
  <si>
    <t>Cost and warranty exposure monitoring</t>
  </si>
  <si>
    <t>Reduced commercial risk</t>
  </si>
  <si>
    <t>Audit Documentation</t>
  </si>
  <si>
    <t>Warranty Evidence Repository</t>
  </si>
  <si>
    <t>Governance Repository</t>
  </si>
  <si>
    <t>Automated evidence assembly</t>
  </si>
  <si>
    <t>Warranty Operations Dashboard</t>
  </si>
  <si>
    <t>Warranty Control Tower</t>
  </si>
  <si>
    <t>Executive Reporting Platform</t>
  </si>
  <si>
    <t>Performance and automation monitoring</t>
  </si>
  <si>
    <t>Management visibility</t>
  </si>
  <si>
    <t>Milestone 5.2 KPI Framework</t>
  </si>
  <si>
    <t>Warranty Turnaround Time</t>
  </si>
  <si>
    <t>Warranty SLA Compliance</t>
  </si>
  <si>
    <t>Automation Rate</t>
  </si>
  <si>
    <t>Eligibility Assessment Accuracy</t>
  </si>
  <si>
    <t>Document Validation Accuracy</t>
  </si>
  <si>
    <t>Manual Reviews</t>
  </si>
  <si>
    <t>Processing Cost Reduction</t>
  </si>
  <si>
    <t>Compliance Accuracy</t>
  </si>
  <si>
    <t>Milestone 5.2 Risks &amp; Mitigations</t>
  </si>
  <si>
    <t>Regulatory concerns</t>
  </si>
  <si>
    <t>Human approval gates</t>
  </si>
  <si>
    <t>Incorrect eligibility decisions</t>
  </si>
  <si>
    <t>Rules-based validation controls</t>
  </si>
  <si>
    <t>Missing evidence</t>
  </si>
  <si>
    <t>Automated document verification</t>
  </si>
  <si>
    <t>Evidence retention controls</t>
  </si>
  <si>
    <t>Policy interpretation errors</t>
  </si>
  <si>
    <t>Legal and compliance review workflow</t>
  </si>
  <si>
    <t>Automation bias</t>
  </si>
  <si>
    <t>Customer disputes</t>
  </si>
  <si>
    <t>Appeal and review mechanism</t>
  </si>
  <si>
    <t>Decision inconsistency</t>
  </si>
  <si>
    <t>Policy-driven decision governance</t>
  </si>
  <si>
    <t>Milestone 5.3: Agentic Governance &amp; Executive Operations</t>
  </si>
  <si>
    <t>Establish a network of governance agents that prepare reports, generate insights, conduct RCA analysis, monitor KPIs, identify risks, and support executive decision-making.</t>
  </si>
  <si>
    <t>Governance Reporting</t>
  </si>
  <si>
    <t>Governance Copilot</t>
  </si>
  <si>
    <t>Governance AI Agent</t>
  </si>
  <si>
    <t>Weekly reviews, monthly reviews, steering committee preparation</t>
  </si>
  <si>
    <t>Reduced reporting effort</t>
  </si>
  <si>
    <t>Executive Reporting</t>
  </si>
  <si>
    <t>Executive Review Generator</t>
  </si>
  <si>
    <t>QBR generation, board reporting, executive summaries</t>
  </si>
  <si>
    <t>Accelerated executive reporting</t>
  </si>
  <si>
    <t>KPI Intelligence</t>
  </si>
  <si>
    <t>KPI Interpretation Agent</t>
  </si>
  <si>
    <t>KPI Analytics Agent</t>
  </si>
  <si>
    <t>KPI trend interpretation and anomaly detection</t>
  </si>
  <si>
    <t>Improved management insights</t>
  </si>
  <si>
    <t>Risk Monitoring</t>
  </si>
  <si>
    <t>Risk Identification Agent</t>
  </si>
  <si>
    <t>Risk Intelligence Agent</t>
  </si>
  <si>
    <t>SLA, financial, operational risk detection</t>
  </si>
  <si>
    <t>Proactive risk management</t>
  </si>
  <si>
    <t>Automated RCA</t>
  </si>
  <si>
    <t>RCA Generation Agent</t>
  </si>
  <si>
    <t>Root Cause Agent</t>
  </si>
  <si>
    <t>Incident and service issue RCA generation</t>
  </si>
  <si>
    <t>Faster problem resolution</t>
  </si>
  <si>
    <t>Action Tracking</t>
  </si>
  <si>
    <t>Action Management Agent</t>
  </si>
  <si>
    <t>Governance Tracking Platform</t>
  </si>
  <si>
    <t>Action assignment, closure monitoring</t>
  </si>
  <si>
    <t>Improved governance execution</t>
  </si>
  <si>
    <t>Meeting Preparation</t>
  </si>
  <si>
    <t>Management Review Agent</t>
  </si>
  <si>
    <t>Executive Workspace</t>
  </si>
  <si>
    <t>Automated briefing packs</t>
  </si>
  <si>
    <t>Improved meeting readiness</t>
  </si>
  <si>
    <t>Decision Intelligence</t>
  </si>
  <si>
    <t>Executive Decision Copilot</t>
  </si>
  <si>
    <t>Decision Support Platform</t>
  </si>
  <si>
    <t>Recommended actions and scenario assessment</t>
  </si>
  <si>
    <t>Better decision-making</t>
  </si>
  <si>
    <t>Governance Evidence Generation</t>
  </si>
  <si>
    <t>Audit Evidence Generator</t>
  </si>
  <si>
    <t>Compliance Evidence Platform</t>
  </si>
  <si>
    <t>Control evidence collection</t>
  </si>
  <si>
    <t>Improved audit outcomes</t>
  </si>
  <si>
    <t>Governance Control Tower</t>
  </si>
  <si>
    <t>Enterprise Governance Dashboard</t>
  </si>
  <si>
    <t>Governance Command Center</t>
  </si>
  <si>
    <t>Governance health visibility</t>
  </si>
  <si>
    <t>Enterprise-wide oversight</t>
  </si>
  <si>
    <t>Milestone 5.3 KPI Framework</t>
  </si>
  <si>
    <t>Governance Reporting Effort</t>
  </si>
  <si>
    <t>Executive Pack Preparation Time</t>
  </si>
  <si>
    <t>RCA Generation Time</t>
  </si>
  <si>
    <t>Action Closure Rate</t>
  </si>
  <si>
    <t>KPI Insight Accuracy</t>
  </si>
  <si>
    <t>Risk Prediction Accuracy</t>
  </si>
  <si>
    <t>Audit Evidence Generation</t>
  </si>
  <si>
    <t>Governance Compliance</t>
  </si>
  <si>
    <t>Review Preparation Cycle Time</t>
  </si>
  <si>
    <t>Executive Satisfaction</t>
  </si>
  <si>
    <t>Milestone 5.3 Risks &amp; Mitigations</t>
  </si>
  <si>
    <t>Incorrect executive insights</t>
  </si>
  <si>
    <t>Human validation workflow</t>
  </si>
  <si>
    <t>KPI interpretation inaccuracies</t>
  </si>
  <si>
    <t>Rules-based KPI governance</t>
  </si>
  <si>
    <t>RCA quality concerns</t>
  </si>
  <si>
    <t>SME review process</t>
  </si>
  <si>
    <t>Governance over-automation</t>
  </si>
  <si>
    <t>Approval authorities retained</t>
  </si>
  <si>
    <t>Missing audit evidence</t>
  </si>
  <si>
    <t>Evidence validation workflows</t>
  </si>
  <si>
    <t>Risk misclassification</t>
  </si>
  <si>
    <t>Model calibration procedures</t>
  </si>
  <si>
    <t>Executive trust issues</t>
  </si>
  <si>
    <t>Explainable AI outputs</t>
  </si>
  <si>
    <t>Agent coordination failures</t>
  </si>
  <si>
    <t>Multi-agent orchestration controls</t>
  </si>
  <si>
    <t>Milestone 5.4: Enterprise Multi-Agent Orchestration Platform</t>
  </si>
  <si>
    <t>(This is the capability most organizations miss when defining Agentic Operations.)</t>
  </si>
  <si>
    <t>Enable multiple AI Agents to collaborate securely across complaint, warranty, operations, workforce, quality, inventory, governance, and customer domains.</t>
  </si>
  <si>
    <t>Agent Registry</t>
  </si>
  <si>
    <t>Enterprise Agent Catalog</t>
  </si>
  <si>
    <t>Agent Lifecycle Platform</t>
  </si>
  <si>
    <t>Agent inventory and ownership</t>
  </si>
  <si>
    <t>Agent Identity Management</t>
  </si>
  <si>
    <t>Agent Identity Service</t>
  </si>
  <si>
    <t>AI Identity Platform</t>
  </si>
  <si>
    <t>Authentication and authorization</t>
  </si>
  <si>
    <t>Agent Communication</t>
  </si>
  <si>
    <t>Agent Messaging Framework</t>
  </si>
  <si>
    <t>Agent Bus</t>
  </si>
  <si>
    <t>Inter-agent communication</t>
  </si>
  <si>
    <t>Agent Workflow Orchestration</t>
  </si>
  <si>
    <t>Multi-Agent Orchestrator</t>
  </si>
  <si>
    <t>Agent Coordination Engine</t>
  </si>
  <si>
    <t>Agent collaboration workflows</t>
  </si>
  <si>
    <t>Delegation Management</t>
  </si>
  <si>
    <t>Delegation Framework</t>
  </si>
  <si>
    <t>Task Delegation Service</t>
  </si>
  <si>
    <t>Authority delegation controls</t>
  </si>
  <si>
    <t>Agent Governance</t>
  </si>
  <si>
    <t>Agent Governance Framework</t>
  </si>
  <si>
    <t>Agent approval and lifecycle controls</t>
  </si>
  <si>
    <t>Agent Monitoring</t>
  </si>
  <si>
    <t>Agent Observability Platform</t>
  </si>
  <si>
    <t>Monitoring Dashboard</t>
  </si>
  <si>
    <t>Agent health and performance tracking</t>
  </si>
  <si>
    <t>Agent Risk Management</t>
  </si>
  <si>
    <t>Agent Risk Register</t>
  </si>
  <si>
    <t>AI risk identification</t>
  </si>
  <si>
    <t>Agent Auditability</t>
  </si>
  <si>
    <t>Agent Audit Repository</t>
  </si>
  <si>
    <t>Compliance Platform</t>
  </si>
  <si>
    <t>Decision traceability</t>
  </si>
  <si>
    <t>Agent Retirement</t>
  </si>
  <si>
    <t>Agent Lifecycle Management</t>
  </si>
  <si>
    <t>AI Operations Platform</t>
  </si>
  <si>
    <t>Decommissioning and archival</t>
  </si>
  <si>
    <t>Phase 5 AI Agent Governance Controls</t>
  </si>
  <si>
    <t>Agent Registration</t>
  </si>
  <si>
    <t>Agent Approval Board</t>
  </si>
  <si>
    <t>Agent registration records</t>
  </si>
  <si>
    <t>Agent Identity</t>
  </si>
  <si>
    <t>AI Agent Identity Registry</t>
  </si>
  <si>
    <t>Agent credentials and certificates</t>
  </si>
  <si>
    <t>Delegated Authority</t>
  </si>
  <si>
    <t>Delegation Approval Workflow</t>
  </si>
  <si>
    <t>Approved delegation records</t>
  </si>
  <si>
    <t>Decision Governance</t>
  </si>
  <si>
    <t>Human Approval Gates</t>
  </si>
  <si>
    <t>Decision approvals</t>
  </si>
  <si>
    <t>Decision Explainability Reports</t>
  </si>
  <si>
    <t>Model reasoning evidence</t>
  </si>
  <si>
    <t>Agent Risk Assessment</t>
  </si>
  <si>
    <t>Least Privilege Access Review</t>
  </si>
  <si>
    <t>Compliance assessment reports</t>
  </si>
  <si>
    <t>Agent Behaviour Monitoring</t>
  </si>
  <si>
    <t>Observability dashboards</t>
  </si>
  <si>
    <t>Agent Audit Logs</t>
  </si>
  <si>
    <t>End-to-end decision trail</t>
  </si>
  <si>
    <t>Lifecycle Management</t>
  </si>
  <si>
    <t>Agent Lifecycle Reviews</t>
  </si>
  <si>
    <t>Quarterly review evidence</t>
  </si>
  <si>
    <t>Emergency Shutdown</t>
  </si>
  <si>
    <t>Kill Switch Governance</t>
  </si>
  <si>
    <t>Emergency response procedures</t>
  </si>
  <si>
    <t>AI Agent Lifecycle Management (Critical Enterprise Addition)</t>
  </si>
  <si>
    <t>Lifecycle Stage</t>
  </si>
  <si>
    <t>Governance Requirement</t>
  </si>
  <si>
    <t>Request Agent</t>
  </si>
  <si>
    <t>Business justification</t>
  </si>
  <si>
    <t>Classify Agent</t>
  </si>
  <si>
    <t>Risk categorization</t>
  </si>
  <si>
    <t>Design Agent</t>
  </si>
  <si>
    <t>Architecture review</t>
  </si>
  <si>
    <t>Approve Agent</t>
  </si>
  <si>
    <t>Governance approval</t>
  </si>
  <si>
    <t>Register Agent</t>
  </si>
  <si>
    <t>Agent inventory registration</t>
  </si>
  <si>
    <t>Provision Agent</t>
  </si>
  <si>
    <t>Access and credentials</t>
  </si>
  <si>
    <t>Activate Agent</t>
  </si>
  <si>
    <t>Production readiness</t>
  </si>
  <si>
    <t>Monitor Agent</t>
  </si>
  <si>
    <t>Continuous supervision</t>
  </si>
  <si>
    <t>Review Agent</t>
  </si>
  <si>
    <t>Quarterly recertification</t>
  </si>
  <si>
    <t>Suspend Agent</t>
  </si>
  <si>
    <t>Risk response</t>
  </si>
  <si>
    <t>Deactivate Agent</t>
  </si>
  <si>
    <t>Controlled retirement</t>
  </si>
  <si>
    <t>Archive Agent</t>
  </si>
  <si>
    <t>Audit retention</t>
  </si>
  <si>
    <t>Retire Agent</t>
  </si>
  <si>
    <t>Final decommissioning</t>
  </si>
  <si>
    <t>Phase 5 Exit Criteria</t>
  </si>
  <si>
    <t>Complaint AI Agents operational</t>
  </si>
  <si>
    <t>Warranty AI Agents operational</t>
  </si>
  <si>
    <t>Governance AI Agents operational</t>
  </si>
  <si>
    <t>Executive CoPilot operational</t>
  </si>
  <si>
    <t>Multi-Agent Orchestration Platform deployed</t>
  </si>
  <si>
    <t>AI Agent Identity Platform operational</t>
  </si>
  <si>
    <t>Agent Governance Framework approved</t>
  </si>
  <si>
    <t>AI Agent Risk Register implemented</t>
  </si>
  <si>
    <t>Human Oversight controls operational</t>
  </si>
  <si>
    <t>Decision audit trail available</t>
  </si>
  <si>
    <t>Agent lifecycle management operational</t>
  </si>
  <si>
    <t>Delegated authority controls approved</t>
  </si>
  <si>
    <t>Key Business Outcomes Delivered by Phase 5</t>
  </si>
  <si>
    <r>
      <t xml:space="preserve">1. Creation of an enterprise-scale </t>
    </r>
    <r>
      <rPr>
        <b/>
        <sz val="12"/>
        <color theme="1"/>
        <rFont val="Tenorite"/>
      </rPr>
      <t>Autonomous Digital Workforce</t>
    </r>
    <r>
      <rPr>
        <sz val="12"/>
        <color theme="1"/>
        <rFont val="Tenorite"/>
      </rPr>
      <t>.</t>
    </r>
  </si>
  <si>
    <t>2. 60-80% reduction in operational manual effort across targeted processes.</t>
  </si>
  <si>
    <t>3. AI Agents execute approved operational activities under governance.</t>
  </si>
  <si>
    <t>4. Human teams focus on exceptions, strategy, and continuous improvement.</t>
  </si>
  <si>
    <t>5. Complaint and warranty processes become largely autonomous.</t>
  </si>
  <si>
    <t>6. Governance reporting becomes near real-time.</t>
  </si>
  <si>
    <t>7. Executive decision-making is supported through agent-generated insights.</t>
  </si>
  <si>
    <t>8. All AI agent actions become fully traceable and auditable.</t>
  </si>
  <si>
    <t>9. AI Agent Identity and Lifecycle Management becomes a first-class enterprise capability.</t>
  </si>
  <si>
    <r>
      <t xml:space="preserve">10. Enterprise achieves a mature </t>
    </r>
    <r>
      <rPr>
        <b/>
        <sz val="12"/>
        <color theme="1"/>
        <rFont val="Tenorite"/>
      </rPr>
      <t>Agentic Operating Model</t>
    </r>
    <r>
      <rPr>
        <sz val="12"/>
        <color theme="1"/>
        <rFont val="Tenorite"/>
      </rPr>
      <t>, ready for future self-healing and autonomous enterprise capabilities.</t>
    </r>
  </si>
  <si>
    <t>AI Workforce Manager</t>
  </si>
  <si>
    <t>Demand, staffing, scheduling, and SLA-risk agent</t>
  </si>
  <si>
    <t>Forecast demand, calculate staffing, recommend schedules, and coordinate approved workforce actions</t>
  </si>
  <si>
    <t>Forecast accuracy &gt;90%; improved utilization; reduced overtime</t>
  </si>
  <si>
    <t>Opportunity rows 201–206 and 220</t>
  </si>
  <si>
    <t>Approve decision rights and manager overrides</t>
  </si>
  <si>
    <t>AI Audit Manager</t>
  </si>
  <si>
    <t>Autonomous sampling, QA review, deviation detection, and CAPA drafting</t>
  </si>
  <si>
    <t>Execute governed audits with calibration, evidence, and human appeal</t>
  </si>
  <si>
    <t>QA coverage 100%; faster audits; improved defect detection</t>
  </si>
  <si>
    <t>Opportunity rows 208–213 and 256</t>
  </si>
  <si>
    <t>Approve audit authority and calibration controls</t>
  </si>
  <si>
    <t>Autonomous PO Collection Agent</t>
  </si>
  <si>
    <t>AI follow-up and escalation agent</t>
  </si>
  <si>
    <t>Monitor pending POs, contact owners, age cases, and escalate within approved policy</t>
  </si>
  <si>
    <t>Opportunity row 225</t>
  </si>
  <si>
    <t>Approve communication authority and escalation limits</t>
  </si>
  <si>
    <t>Revenue Integrity Agent</t>
  </si>
  <si>
    <t>Agent monitoring orders, billing, returns, and inventory</t>
  </si>
  <si>
    <t>Investigate leakage alerts, assemble evidence, and recommend or execute approved recovery actions</t>
  </si>
  <si>
    <t>Reduced revenue leakage; stronger financial controls</t>
  </si>
  <si>
    <t>Approve financial authority and materiality limits</t>
  </si>
  <si>
    <t>Autonomous inventory operations</t>
  </si>
  <si>
    <t>Inventory, retrieval, audit, and lifecycle agents</t>
  </si>
  <si>
    <t>Coordinate recovery, expiry, reconciliation, audit, and exception workflows</t>
  </si>
  <si>
    <t>Improved retrieval success; reduced loss; fewer manual touches</t>
  </si>
  <si>
    <t>Opportunity rows 221 and 281</t>
  </si>
  <si>
    <t>Approve inventory agent boundaries and overrides</t>
  </si>
  <si>
    <t>Agent identity and lifecycle</t>
  </si>
  <si>
    <t>Identity service, lifecycle platform, and enterprise registry</t>
  </si>
  <si>
    <t>Request, design, approve, register, activate, monitor, and retire every agent with named ownership</t>
  </si>
  <si>
    <t>Governance readiness, accountability, and traceability</t>
  </si>
  <si>
    <t>Opportunity rows 236–238</t>
  </si>
  <si>
    <t>Approve agent owner, identity, and lifecycle policy</t>
  </si>
  <si>
    <t>Agent observability and risk</t>
  </si>
  <si>
    <t>Telemetry, behavior monitoring, risk register, and governance portal</t>
  </si>
  <si>
    <t>Monitor performance, drift, decisions, overrides, incidents, and compliance continuously</t>
  </si>
  <si>
    <t>Earlier risk detection; governance compliance; controlled autonomy</t>
  </si>
  <si>
    <t>Opportunity rows 240–242</t>
  </si>
  <si>
    <t>Approve risk thresholds, kill switches, and incident response</t>
  </si>
  <si>
    <t>Persona-aware controlled agents</t>
  </si>
  <si>
    <t>Agents support routine account, order, status, follow-up, warranty, return, and education</t>
  </si>
  <si>
    <t>Apply persona-specific authority, approvals, evidence, and escalation</t>
  </si>
  <si>
    <t>Lower manual effort with accountable journey ownership</t>
  </si>
  <si>
    <t>Consulting Flows roles 12–16</t>
  </si>
  <si>
    <t>Approve action boundaries and overrides</t>
  </si>
  <si>
    <r>
      <t xml:space="preserve">Perfect. By Phase 6, the organization moves beyond individual AI agents and predictive analytics into a true </t>
    </r>
    <r>
      <rPr>
        <b/>
        <sz val="12"/>
        <color theme="1"/>
        <rFont val="Tenorite"/>
      </rPr>
      <t>Autonomous Enterprise Operating Model</t>
    </r>
    <r>
      <rPr>
        <sz val="12"/>
        <color theme="1"/>
        <rFont val="Tenorite"/>
      </rPr>
      <t>, where interconnected digital workers, AI agents, orchestration engines, process mining, knowledge intelligence, governance controls, and executive decision intelligence continuously optimize business operations with minimal human intervention.</t>
    </r>
  </si>
  <si>
    <t>This is essentially the target-state operating model that combines:</t>
  </si>
  <si>
    <t>Autonomous Operations</t>
  </si>
  <si>
    <t>Multi-Agent Ecosystem</t>
  </si>
  <si>
    <t>Enterprise Knowledge Brain</t>
  </si>
  <si>
    <t>Self-Healing Workflows</t>
  </si>
  <si>
    <t>Continuous Optimization</t>
  </si>
  <si>
    <t>AI Governance at Scale</t>
  </si>
  <si>
    <t>Digital Workforce Management</t>
  </si>
  <si>
    <t>Executive Decision Intelligence</t>
  </si>
  <si>
    <t>PHASE 6: AUTONOMOUS ENTERPRISE</t>
  </si>
  <si>
    <r>
      <t>Timeline:</t>
    </r>
    <r>
      <rPr>
        <sz val="12"/>
        <color theme="1"/>
        <rFont val="Tenorite"/>
      </rPr>
      <t xml:space="preserve"> 30–36 Months</t>
    </r>
  </si>
  <si>
    <t>Milestone 6.1: AI Operations Command Center &amp; Digital Workforce Orchestration</t>
  </si>
  <si>
    <t>Create an AI-driven autonomous enterprise where digital workers, AI Agents, orchestration platforms, predictive engines, knowledge systems, and governance frameworks continuously monitor, optimize, self-correct, and execute enterprise operations while maintaining regulatory compliance, risk management, and human oversight.</t>
  </si>
  <si>
    <t>Establish a centralized command-and-control platform managing all enterprise AI agents, autonomous workflows, digital workers, business processes, and operational intelligence.</t>
  </si>
  <si>
    <t>Enterprise Operations Visibility</t>
  </si>
  <si>
    <t>AI Operations Control Tower</t>
  </si>
  <si>
    <t>AI Operations Command Center</t>
  </si>
  <si>
    <t>Enterprise monitoring, operational telemetry, exception intelligence</t>
  </si>
  <si>
    <t>Real-time enterprise visibility</t>
  </si>
  <si>
    <t>Multi-Agent Coordination</t>
  </si>
  <si>
    <t>Agent Orchestration Platform</t>
  </si>
  <si>
    <t>Agent collaboration and task delegation</t>
  </si>
  <si>
    <t>End-to-end autonomous execution</t>
  </si>
  <si>
    <t>Digital Workforce Manager</t>
  </si>
  <si>
    <t>AI Workforce Platform</t>
  </si>
  <si>
    <t>Agent lifecycle management and capacity planning</t>
  </si>
  <si>
    <t>Optimized digital workforce</t>
  </si>
  <si>
    <t>Enterprise KPI Management</t>
  </si>
  <si>
    <t>Autonomous KPI Manager</t>
  </si>
  <si>
    <t>KPI Intelligence Engine</t>
  </si>
  <si>
    <t>Continuous KPI evaluation and intervention recommendations</t>
  </si>
  <si>
    <t>Self-optimizing performance</t>
  </si>
  <si>
    <t>Operational Risk Intelligence</t>
  </si>
  <si>
    <t>Autonomous Risk Manager</t>
  </si>
  <si>
    <t>AI Risk Engine</t>
  </si>
  <si>
    <t>Risk detection, impact analysis, mitigation recommendations</t>
  </si>
  <si>
    <t>Continuous risk reduction</t>
  </si>
  <si>
    <t>Executive Operations Visibility</t>
  </si>
  <si>
    <t>Enterprise Command Center</t>
  </si>
  <si>
    <t>Enterprise performance and strategic indicators</t>
  </si>
  <si>
    <t>Executive decision support</t>
  </si>
  <si>
    <t>Business Process Monitoring</t>
  </si>
  <si>
    <t>Process Intelligence Hub</t>
  </si>
  <si>
    <t>Operational Analytics Platform</t>
  </si>
  <si>
    <t>Process health monitoring and anomaly detection</t>
  </si>
  <si>
    <t>Continuous operational awareness</t>
  </si>
  <si>
    <t>Autonomous Decision Support</t>
  </si>
  <si>
    <t>Enterprise Copilot Platform</t>
  </si>
  <si>
    <t>Recommended actions and optimization scenarios</t>
  </si>
  <si>
    <t>Faster business decisions</t>
  </si>
  <si>
    <t>AI Asset Management</t>
  </si>
  <si>
    <t>AI Portfolio Manager</t>
  </si>
  <si>
    <t>Agent Registry Platform</t>
  </si>
  <si>
    <t>Inventory and ownership management</t>
  </si>
  <si>
    <t>Full governance visibility</t>
  </si>
  <si>
    <t>Enterprise Observability</t>
  </si>
  <si>
    <t>AI Operations Telemetry Platform</t>
  </si>
  <si>
    <t>Observability Hub</t>
  </si>
  <si>
    <t>Agent behavior monitoring and diagnostics</t>
  </si>
  <si>
    <t>Proactive operational support</t>
  </si>
  <si>
    <t>Milestone 6.1 KPI Framework</t>
  </si>
  <si>
    <t>Enterprise Automation Rate</t>
  </si>
  <si>
    <t>Autonomous Process Completion</t>
  </si>
  <si>
    <t>Agent Availability</t>
  </si>
  <si>
    <t>SLA Achievement</t>
  </si>
  <si>
    <t>Digital Workforce Productivity</t>
  </si>
  <si>
    <t>Cost per Transaction</t>
  </si>
  <si>
    <t>Reporting Effort</t>
  </si>
  <si>
    <t>Enterprise Visibility Coverage</t>
  </si>
  <si>
    <t>Operational Decision Cycle Time</t>
  </si>
  <si>
    <t>Agent Governance Compliance</t>
  </si>
  <si>
    <t>Milestone 6.1 Risks &amp; Mitigations</t>
  </si>
  <si>
    <t>AI governance failure</t>
  </si>
  <si>
    <t>Enterprise AI governance framework</t>
  </si>
  <si>
    <t>Human intervention mechanisms</t>
  </si>
  <si>
    <t>End-to-end audit logging</t>
  </si>
  <si>
    <t>Agent lifecycle mismanagement</t>
  </si>
  <si>
    <t>Agent lifecycle governance platform</t>
  </si>
  <si>
    <t>Excessive autonomy risk</t>
  </si>
  <si>
    <t>Delegated authority framework</t>
  </si>
  <si>
    <t>Platform scalability issues</t>
  </si>
  <si>
    <t>Multi-cluster architecture</t>
  </si>
  <si>
    <t>Enterprise-wide outages</t>
  </si>
  <si>
    <t>High availability and disaster recovery architecture</t>
  </si>
  <si>
    <t>Milestone 6.2: Enterprise Knowledge Brain &amp; Cognitive Intelligence Platform</t>
  </si>
  <si>
    <t>Create a unified enterprise intelligence layer capable of supplying trusted contextual knowledge to every AI agent, workflow, executive dashboard, and business process.</t>
  </si>
  <si>
    <t>Enterprise Knowledge Management</t>
  </si>
  <si>
    <t>Unified RAG Platform</t>
  </si>
  <si>
    <t>Grounded enterprise information access</t>
  </si>
  <si>
    <t>Trusted AI responses</t>
  </si>
  <si>
    <t>Knowledge Federation</t>
  </si>
  <si>
    <t>Enterprise Data Mesh</t>
  </si>
  <si>
    <t>Knowledge Integration Platform</t>
  </si>
  <si>
    <t>Unified knowledge access across systems</t>
  </si>
  <si>
    <t>Eliminated information silos</t>
  </si>
  <si>
    <t>Contextual Intelligence</t>
  </si>
  <si>
    <t>Enterprise Context Service</t>
  </si>
  <si>
    <t>Context Intelligence Engine</t>
  </si>
  <si>
    <t>Context-aware recommendations</t>
  </si>
  <si>
    <t>Improved decision quality</t>
  </si>
  <si>
    <t>Semantic Search</t>
  </si>
  <si>
    <t>Enterprise Search Platform</t>
  </si>
  <si>
    <t>Semantic Search Engine</t>
  </si>
  <si>
    <t>Natural language enterprise search</t>
  </si>
  <si>
    <t>Faster information access</t>
  </si>
  <si>
    <t>Knowledge Governance Framework</t>
  </si>
  <si>
    <t>Knowledge Management Portal</t>
  </si>
  <si>
    <t>Knowledge ownership and approval workflows</t>
  </si>
  <si>
    <t>Trusted content</t>
  </si>
  <si>
    <t>AI Memory Management</t>
  </si>
  <si>
    <t>Organizational Memory Platform</t>
  </si>
  <si>
    <t>Persistent Knowledge Service</t>
  </si>
  <si>
    <t>Enterprise learning retention</t>
  </si>
  <si>
    <t>Continuous learning</t>
  </si>
  <si>
    <t>Knowledge Quality Management</t>
  </si>
  <si>
    <t>Knowledge Quality Engine</t>
  </si>
  <si>
    <t>Content Certification Platform</t>
  </si>
  <si>
    <t>Content validation and quality scoring</t>
  </si>
  <si>
    <t>Improved answer accuracy</t>
  </si>
  <si>
    <t>Enterprise Ontology Management</t>
  </si>
  <si>
    <t>Knowledge Graph Platform</t>
  </si>
  <si>
    <t>Semantic Enterprise Model</t>
  </si>
  <si>
    <t>Business relationships and enterprise context</t>
  </si>
  <si>
    <t>Better inference quality</t>
  </si>
  <si>
    <t>Continuous Learning</t>
  </si>
  <si>
    <t>AI Learning Platform</t>
  </si>
  <si>
    <t>Learning Feedback Engine</t>
  </si>
  <si>
    <t>Learning from operational outcomes</t>
  </si>
  <si>
    <t>Enterprise optimization</t>
  </si>
  <si>
    <t>Knowledge Analytics</t>
  </si>
  <si>
    <t>Knowledge Intelligence Dashboard</t>
  </si>
  <si>
    <t>Knowledge Insights Platform</t>
  </si>
  <si>
    <t>Knowledge usage and effectiveness insights</t>
  </si>
  <si>
    <t>Improved knowledge investments</t>
  </si>
  <si>
    <t>Milestone 6.2 KPI Framework</t>
  </si>
  <si>
    <t>Knowledge Accuracy</t>
  </si>
  <si>
    <t>RAG Grounding Accuracy</t>
  </si>
  <si>
    <t>Knowledge Freshness Compliance</t>
  </si>
  <si>
    <t>Search Success Rate</t>
  </si>
  <si>
    <t>Knowledge Reuse Rate</t>
  </si>
  <si>
    <t>Content Certification Coverage</t>
  </si>
  <si>
    <t>Knowledge Response Latency</t>
  </si>
  <si>
    <t>&lt;2 Seconds</t>
  </si>
  <si>
    <t>Hallucination Incidents</t>
  </si>
  <si>
    <t>Knowledge Source Traceability</t>
  </si>
  <si>
    <t>User Trust Score</t>
  </si>
  <si>
    <t>Milestone 6.3: Self-Healing Operations &amp; Autonomous Process Optimization</t>
  </si>
  <si>
    <t>Enable systems and agents to identify, diagnose, resolve, and optimize operational issues without manual intervention.</t>
  </si>
  <si>
    <t>Self-Healing Operations</t>
  </si>
  <si>
    <t>Autonomous Remediation Platform</t>
  </si>
  <si>
    <t>Self-Healing Engine</t>
  </si>
  <si>
    <t>Automated issue resolution</t>
  </si>
  <si>
    <t>Reduced operational disruption</t>
  </si>
  <si>
    <t>Intelligent Workflow Routing</t>
  </si>
  <si>
    <t>Autonomous Case Routing Platform</t>
  </si>
  <si>
    <t>Dynamic Workflow Engine</t>
  </si>
  <si>
    <t>Continuous routing optimization</t>
  </si>
  <si>
    <t>Increased efficiency</t>
  </si>
  <si>
    <t>Process Optimization</t>
  </si>
  <si>
    <t>Process Mining Platform</t>
  </si>
  <si>
    <t>Continuous Optimization Engine</t>
  </si>
  <si>
    <t>Discovery, bottleneck detection, optimization</t>
  </si>
  <si>
    <t>Continuous improvement</t>
  </si>
  <si>
    <t>Incident Auto-Resolution</t>
  </si>
  <si>
    <t>Incident Resolution Engine</t>
  </si>
  <si>
    <t>Autonomous Service Agent</t>
  </si>
  <si>
    <t>Automated remediation workflow</t>
  </si>
  <si>
    <t>Reduced MTTR</t>
  </si>
  <si>
    <t>Root Cause Automation</t>
  </si>
  <si>
    <t>Autonomous RCA Engine</t>
  </si>
  <si>
    <t>AI RCA Platform</t>
  </si>
  <si>
    <t>Continuous causal analysis</t>
  </si>
  <si>
    <t>Faster defect elimination</t>
  </si>
  <si>
    <t>Resource Optimization</t>
  </si>
  <si>
    <t>Autonomous Capacity Manager</t>
  </si>
  <si>
    <t>AI Scheduling Engine</t>
  </si>
  <si>
    <t>Real-time resource balancing</t>
  </si>
  <si>
    <t>Improved utilization</t>
  </si>
  <si>
    <t>Service Optimization</t>
  </si>
  <si>
    <t>Service Improvement Engine</t>
  </si>
  <si>
    <t>Continuous Improvement Platform</t>
  </si>
  <si>
    <t>Self-generated optimization recommendations</t>
  </si>
  <si>
    <t>Better performance outcomes</t>
  </si>
  <si>
    <t>Quality Optimization</t>
  </si>
  <si>
    <t>Autonomous QA Platform</t>
  </si>
  <si>
    <t>Quality Optimization Engine</t>
  </si>
  <si>
    <t>Continuous quality corrections</t>
  </si>
  <si>
    <t>Improved quality results</t>
  </si>
  <si>
    <t>Policy Enforcement</t>
  </si>
  <si>
    <t>Autonomous Compliance Validation</t>
  </si>
  <si>
    <t>Compliance Enforcement Engine</t>
  </si>
  <si>
    <t>Automatic policy verification</t>
  </si>
  <si>
    <t>Reduced compliance failures</t>
  </si>
  <si>
    <t>Process Simulation</t>
  </si>
  <si>
    <t>Enterprise Digital Twin Platform</t>
  </si>
  <si>
    <t>Simulation Engine</t>
  </si>
  <si>
    <t>Scenario analysis and optimization testing</t>
  </si>
  <si>
    <t>Better strategic planning</t>
  </si>
  <si>
    <t>Milestone 6.3 KPI Framework</t>
  </si>
  <si>
    <t>Automated Incident Resolution</t>
  </si>
  <si>
    <t>Mean Time To Resolution</t>
  </si>
  <si>
    <t>Process Efficiency Improvement</t>
  </si>
  <si>
    <t>Operational Defects</t>
  </si>
  <si>
    <t>Manual Intervention Rate</t>
  </si>
  <si>
    <t>&lt;20%</t>
  </si>
  <si>
    <t>Self-Healing Success Rate</t>
  </si>
  <si>
    <t>Compliance Exceptions</t>
  </si>
  <si>
    <t>Resource Utilization</t>
  </si>
  <si>
    <t>Customer Impacting Incidents</t>
  </si>
  <si>
    <t>Milestone 6.4: Autonomous Governance &amp; Executive Intelligence</t>
  </si>
  <si>
    <t>Provide autonomous governance monitoring, compliance verification, executive reporting, strategic planning, and decision intelligence.</t>
  </si>
  <si>
    <t>Autonomous Governance</t>
  </si>
  <si>
    <t>Governance AI Platform</t>
  </si>
  <si>
    <t>Automated governance analysis and reporting</t>
  </si>
  <si>
    <t>Reduced governance effort</t>
  </si>
  <si>
    <t>Executive Intelligence</t>
  </si>
  <si>
    <t>Executive Command Center</t>
  </si>
  <si>
    <t>CXO Cockpit</t>
  </si>
  <si>
    <t>Enterprise strategic insights</t>
  </si>
  <si>
    <t>Better executive decisions</t>
  </si>
  <si>
    <t>Regulatory Monitoring</t>
  </si>
  <si>
    <t>Compliance Intelligence Platform</t>
  </si>
  <si>
    <t>Regulatory Compliance Agent</t>
  </si>
  <si>
    <t>Automated compliance validation</t>
  </si>
  <si>
    <t>Audit Automation</t>
  </si>
  <si>
    <t>Audit Evidence Platform</t>
  </si>
  <si>
    <t>Audit Agent</t>
  </si>
  <si>
    <t>Evidence gathering and reporting</t>
  </si>
  <si>
    <t>Continuous audit readiness</t>
  </si>
  <si>
    <t>Risk Governance</t>
  </si>
  <si>
    <t>Enterprise Risk Intelligence</t>
  </si>
  <si>
    <t>Risk Monitoring Platform</t>
  </si>
  <si>
    <t>Continuous enterprise risk assessments</t>
  </si>
  <si>
    <t>Better risk management</t>
  </si>
  <si>
    <t>Strategy Intelligence</t>
  </si>
  <si>
    <t>Strategic Planning Copilot</t>
  </si>
  <si>
    <t>Strategy Agent</t>
  </si>
  <si>
    <t>Scenario analysis and forecasting</t>
  </si>
  <si>
    <t>Improved planning</t>
  </si>
  <si>
    <t>Board Reporting Automation</t>
  </si>
  <si>
    <t>Board Intelligence Engine</t>
  </si>
  <si>
    <t>Automated board packs</t>
  </si>
  <si>
    <t>Faster reporting</t>
  </si>
  <si>
    <t>KPI Governance</t>
  </si>
  <si>
    <t>Performance Governance Platform</t>
  </si>
  <si>
    <t>KPI Governance Agent</t>
  </si>
  <si>
    <t>Continuous KPI surveillance</t>
  </si>
  <si>
    <t>Improved accountability</t>
  </si>
  <si>
    <t>Decision Assurance</t>
  </si>
  <si>
    <t>Decision Governance Platform</t>
  </si>
  <si>
    <t>Explainability Engine</t>
  </si>
  <si>
    <t>Decision traceability and explainability</t>
  </si>
  <si>
    <t>Trusted autonomous decisions</t>
  </si>
  <si>
    <t>Enterprise Compliance</t>
  </si>
  <si>
    <t>Responsible AI Governance Framework</t>
  </si>
  <si>
    <t>Governance Control Center</t>
  </si>
  <si>
    <t>Responsible AI governance</t>
  </si>
  <si>
    <t>Safe enterprise autonomy</t>
  </si>
  <si>
    <t>Autonomous Digital Workforce Portfolio</t>
  </si>
  <si>
    <t>AI Agent</t>
  </si>
  <si>
    <t>Primary Function</t>
  </si>
  <si>
    <t>Customer Agent</t>
  </si>
  <si>
    <t>Customer engagement</t>
  </si>
  <si>
    <t>Order Agent</t>
  </si>
  <si>
    <t>Order processing</t>
  </si>
  <si>
    <t>Complaint Agent</t>
  </si>
  <si>
    <t>Complaint management</t>
  </si>
  <si>
    <t>Warranty Agent</t>
  </si>
  <si>
    <t>Warranty operations</t>
  </si>
  <si>
    <t>Inventory Agent</t>
  </si>
  <si>
    <t>Inventory lifecycle management</t>
  </si>
  <si>
    <t>Workforce Agent</t>
  </si>
  <si>
    <t>Workforce planning</t>
  </si>
  <si>
    <t>Quality Agent</t>
  </si>
  <si>
    <t>Quality monitoring</t>
  </si>
  <si>
    <t>Risk Agent</t>
  </si>
  <si>
    <t>Risk identification</t>
  </si>
  <si>
    <t>Governance Agent</t>
  </si>
  <si>
    <t>Governance reporting</t>
  </si>
  <si>
    <t>Executive Agent</t>
  </si>
  <si>
    <t>Decision intelligence</t>
  </si>
  <si>
    <t>Compliance Agent</t>
  </si>
  <si>
    <t>Policy enforcement</t>
  </si>
  <si>
    <t>Knowledge Agent</t>
  </si>
  <si>
    <t>Knowledge management</t>
  </si>
  <si>
    <t>Process Agent</t>
  </si>
  <si>
    <t>Process optimization</t>
  </si>
  <si>
    <t>Evidence generation</t>
  </si>
  <si>
    <t>Orchestrator Agent</t>
  </si>
  <si>
    <t>Multi-agent coordination</t>
  </si>
  <si>
    <t>Cross-Phase Foundational Capabilities</t>
  </si>
  <si>
    <t>Foundational Capability</t>
  </si>
  <si>
    <t>Business Purpose</t>
  </si>
  <si>
    <t>These capabilities remain mandatory throughout Phases 3-6:</t>
  </si>
  <si>
    <t>AI Governance Framework</t>
  </si>
  <si>
    <t>Responsible AI controls</t>
  </si>
  <si>
    <t>AI Agent Lifecycle Management</t>
  </si>
  <si>
    <t>Registration, operation, retirement</t>
  </si>
  <si>
    <t>AI Agent Identity Platform</t>
  </si>
  <si>
    <t>Agent authentication and authorization</t>
  </si>
  <si>
    <t>Delegated Authority Framework</t>
  </si>
  <si>
    <t>Controlled AI decision-making</t>
  </si>
  <si>
    <t>Model Risk Management</t>
  </si>
  <si>
    <t>AI risk management</t>
  </si>
  <si>
    <t>Prompt Governance Platform</t>
  </si>
  <si>
    <t>Prompt controls</t>
  </si>
  <si>
    <t>Grounded responses</t>
  </si>
  <si>
    <t>Human-in-the-Loop Controls</t>
  </si>
  <si>
    <t>Human oversight</t>
  </si>
  <si>
    <t>AI Security Platform</t>
  </si>
  <si>
    <t>Zero-trust security</t>
  </si>
  <si>
    <t>Observability Platform</t>
  </si>
  <si>
    <t>Monitoring and telemetry</t>
  </si>
  <si>
    <t>AI Compliance Framework</t>
  </si>
  <si>
    <t>Regulatory compliance</t>
  </si>
  <si>
    <t>Audit &amp; Traceability Repository</t>
  </si>
  <si>
    <t>Evidence management</t>
  </si>
  <si>
    <t>Enterprise AI Governance Controls</t>
  </si>
  <si>
    <t>Registered agent inventory</t>
  </si>
  <si>
    <t>Agent Review Board</t>
  </si>
  <si>
    <t>Certification and recertification records</t>
  </si>
  <si>
    <t>Decision Authority Matrix</t>
  </si>
  <si>
    <t>Approval records</t>
  </si>
  <si>
    <t>Multi-Agent Governance</t>
  </si>
  <si>
    <t>Orchestration Review Board</t>
  </si>
  <si>
    <t>Orchestration approvals</t>
  </si>
  <si>
    <t>AI Model Review Council</t>
  </si>
  <si>
    <t>Model certification reports</t>
  </si>
  <si>
    <t>Explainability Validation</t>
  </si>
  <si>
    <t>Explainability reports</t>
  </si>
  <si>
    <t>Zero Trust Validation</t>
  </si>
  <si>
    <t>Security assessments</t>
  </si>
  <si>
    <t>Responsible AI Review</t>
  </si>
  <si>
    <t>Compliance certifications</t>
  </si>
  <si>
    <t>End-to-End Traceability</t>
  </si>
  <si>
    <t>Agent activity logs</t>
  </si>
  <si>
    <t>Business Continuity</t>
  </si>
  <si>
    <t>AI Resilience Testing</t>
  </si>
  <si>
    <t>DR and resilience test results</t>
  </si>
  <si>
    <t>Emergency Controls</t>
  </si>
  <si>
    <t>AI Kill Switch Framework</t>
  </si>
  <si>
    <t>Emergency activation records</t>
  </si>
  <si>
    <t>Autonomous Decision Review</t>
  </si>
  <si>
    <t>Human Oversight Board</t>
  </si>
  <si>
    <t>Exception review records</t>
  </si>
  <si>
    <t>Phase 6 Exit Criteria (Target State)</t>
  </si>
  <si>
    <t>AI Operations Command Center operational</t>
  </si>
  <si>
    <t>Multi-Agent Enterprise Platform deployed</t>
  </si>
  <si>
    <t>Enterprise Knowledge Brain operational</t>
  </si>
  <si>
    <t>Self-Healing Operations enabled</t>
  </si>
  <si>
    <t>Autonomous Workflow Optimization active</t>
  </si>
  <si>
    <t>Executive Command Center deployed</t>
  </si>
  <si>
    <t>Autonomous Governance operating</t>
  </si>
  <si>
    <t>AI Agent Identity platform enterprise-wide</t>
  </si>
  <si>
    <t>Agent Lifecycle Governance operational</t>
  </si>
  <si>
    <t>Responsible AI controls implemented</t>
  </si>
  <si>
    <t>Human Oversight controls active</t>
  </si>
  <si>
    <t>Full auditability and traceability available</t>
  </si>
  <si>
    <t>Cross-business autonomous operations enabled</t>
  </si>
  <si>
    <t>Key Business Outcomes Delivered by Phase 6</t>
  </si>
  <si>
    <t>1. Enterprise-wide autonomous digital workforce operating at scale.</t>
  </si>
  <si>
    <t>2. More than 75% of operational activities handled through AI and digital workers.</t>
  </si>
  <si>
    <t>3. Self-healing operations significantly reduce manual intervention.</t>
  </si>
  <si>
    <t>4. Enterprise knowledge becomes a centralized, trusted intelligence asset.</t>
  </si>
  <si>
    <t>5. AI agents collaborate through controlled multi-agent orchestration.</t>
  </si>
  <si>
    <t>6. Governance, risk, compliance, and audit processes become continuously monitored.</t>
  </si>
  <si>
    <t>7. Executive decision-making is supported through autonomous intelligence platforms.</t>
  </si>
  <si>
    <t>8. AI Agent Identity, Lifecycle, Delegated Authority, and Governance become institutionalized capabilities.</t>
  </si>
  <si>
    <t>9. Business operations continuously optimize through process mining and digital twin simulation.</t>
  </si>
  <si>
    <r>
      <t xml:space="preserve">10. Organization achieves a fully governed </t>
    </r>
    <r>
      <rPr>
        <b/>
        <sz val="12"/>
        <color theme="1"/>
        <rFont val="Tenorite"/>
      </rPr>
      <t>Autonomous Enterprise Operating Model</t>
    </r>
    <r>
      <rPr>
        <sz val="12"/>
        <color theme="1"/>
        <rFont val="Tenorite"/>
      </rPr>
      <t>, representing the end-state maturity of the transformation roadmap.</t>
    </r>
  </si>
  <si>
    <t>AI operations control tower and enterprise command center</t>
  </si>
  <si>
    <t>Monitor and orchestrate digital workers, incidents, capacity, risk, and business outcomes enterprise-wide</t>
  </si>
  <si>
    <t>Enterprise visibility; agent availability &gt;99.9%; operational resilience</t>
  </si>
  <si>
    <t>Opportunity row 244</t>
  </si>
  <si>
    <t>Approve enterprise command and escalation model</t>
  </si>
  <si>
    <t>Semantic search, knowledge graph, context service, and persistent knowledge</t>
  </si>
  <si>
    <t>Federate trusted knowledge and context for every agent, workflow, dashboard, and decision</t>
  </si>
  <si>
    <t>Knowledge accuracy &gt;99%; freshness &gt;95%; reduced hallucinations</t>
  </si>
  <si>
    <t>Opportunity row 243</t>
  </si>
  <si>
    <t>Approve enterprise knowledge governance</t>
  </si>
  <si>
    <t>Self-healing operations</t>
  </si>
  <si>
    <t>Autonomous remediation engine and self-healing platform</t>
  </si>
  <si>
    <t>Detect, diagnose, resolve, verify, and learn from operational incidents within approved boundaries</t>
  </si>
  <si>
    <t>MTTR -70%; self-healing success &gt;85%; customer-impacting incidents -75%</t>
  </si>
  <si>
    <t>Opportunity row 245</t>
  </si>
  <si>
    <t>Approve remediation limits and human intervention</t>
  </si>
  <si>
    <t>Autonomous governance and reporting</t>
  </si>
  <si>
    <t>Governance and compliance agents with board-report automation</t>
  </si>
  <si>
    <t>Continuously verify controls and generate daily, weekly, monthly, quarterly, and board outputs</t>
  </si>
  <si>
    <t>Near-zero compliance exceptions; reporting effort materially reduced</t>
  </si>
  <si>
    <t>Opportunity rows 242 and 282</t>
  </si>
  <si>
    <t>Approve certification, audit, and board sign-off</t>
  </si>
  <si>
    <t>End-to-end order, validation, release, exception, and recovery orchestration</t>
  </si>
  <si>
    <t>Coordinate specialized agents across customer, order, finance, inventory, and compliance domains</t>
  </si>
  <si>
    <t>Transformational straight-through processing and fewer customer-impacting delays</t>
  </si>
  <si>
    <t>Approve cross-domain authority and exception model</t>
  </si>
  <si>
    <t>Enterprise multi-agent customer operations</t>
  </si>
  <si>
    <t>Customer, complaint, warranty, inventory, quality, knowledge, and governance agent ecosystem</t>
  </si>
  <si>
    <t>Share trusted Customer 360 context and coordinate outcomes through the agent communication bus</t>
  </si>
  <si>
    <t>Autonomous process completion &gt;85%; consistent omnichannel outcomes</t>
  </si>
  <si>
    <t>Opportunity rows 239, 279–281</t>
  </si>
  <si>
    <t>Approve inter-agent protocols and accountability</t>
  </si>
  <si>
    <t>Continuous autonomous optimization</t>
  </si>
  <si>
    <t>Closed-loop process mining, decision intelligence, and performance governance</t>
  </si>
  <si>
    <t>Continuously identify bottlenecks, test interventions, optimize workflows, and retain decision evidence</t>
  </si>
  <si>
    <t>Enterprise automation &gt;75%; productivity +50%; quality defects -50%</t>
  </si>
  <si>
    <t>Opportunity target-state architecture rows 260–282</t>
  </si>
  <si>
    <t>Approve optimization guardrails and value governance</t>
  </si>
  <si>
    <t>Autonomous journey orchestration</t>
  </si>
  <si>
    <t>Coordinate cross-persona clinical, commercial, service, and support journeys</t>
  </si>
  <si>
    <t>Optimize routine completion while preserving consent, clinical judgment, financial authority, and appeal</t>
  </si>
  <si>
    <t>Higher autonomous completion with trust and traceability</t>
  </si>
  <si>
    <t>Consulting Flows persona journey overlay</t>
  </si>
  <si>
    <t>Approve enterprise safeguards and resilience</t>
  </si>
  <si>
    <r>
      <t xml:space="preserve">This Mentor engagement is actually an excellent candidate for </t>
    </r>
    <r>
      <rPr>
        <b/>
        <sz val="8"/>
        <color theme="1"/>
        <rFont val="Tenorite"/>
      </rPr>
      <t>Workflow Automation + Intelligent Automation + Predictive Analytics + Agentic AI + LLM-based Transformation</t>
    </r>
    <r>
      <rPr>
        <sz val="8"/>
        <color theme="1"/>
        <rFont val="Tenorite"/>
      </rPr>
      <t xml:space="preserve"> because a large percentage of the activities are transaction-heavy, rule-based, repetitive, and document-intensive.</t>
    </r>
  </si>
  <si>
    <t>The work order explicitly includes Customer Service, Order Management, Warranty Processing, Complaint Intake, Device Tracking, Consignment Management, Inventory Audits, PO Follow-up, Reporting, Training, and Governance functions. It also references the potential use of AI assets (mentor-cli, mentor-bot, and mentor-assist). [MEntor-Wip...l - signed | PDF]</t>
  </si>
  <si>
    <t>1. Workflow Optimization Opportunities</t>
  </si>
  <si>
    <t>These improvements require little or no AI and focus on process redesign.</t>
  </si>
  <si>
    <t>Customer Service Workflow</t>
  </si>
  <si>
    <t>Current State</t>
  </si>
  <si>
    <t>Target State</t>
  </si>
  <si>
    <t>Benefits</t>
  </si>
  <si>
    <t>Affected KPIs</t>
  </si>
  <si>
    <t>Customer → Agent → Research → Order System → AR Team → Customer</t>
  </si>
  <si>
    <t>Customer → Unified Case Management → Resolution Workflow</t>
  </si>
  <si>
    <t>Single customer view</t>
  </si>
  <si>
    <t>Improved FCR</t>
  </si>
  <si>
    <t>Problems</t>
  </si>
  <si>
    <t>Dynamic case routing</t>
  </si>
  <si>
    <t>Reduced ASA</t>
  </si>
  <si>
    <t>Skill-based routing</t>
  </si>
  <si>
    <t>Reduced transfers</t>
  </si>
  <si>
    <t>High handoffs</t>
  </si>
  <si>
    <t>Digital self-service</t>
  </si>
  <si>
    <t>Reduced call volumes</t>
  </si>
  <si>
    <t>Long AHT</t>
  </si>
  <si>
    <t>Auto-escalation workflows</t>
  </si>
  <si>
    <t>Faster closure</t>
  </si>
  <si>
    <t>Repeat inquiries</t>
  </si>
  <si>
    <t>Complaint Intake Workflow</t>
  </si>
  <si>
    <t>Current</t>
  </si>
  <si>
    <t>Optimized</t>
  </si>
  <si>
    <t>Complaint received → Manual entry → Validation → Escalation</t>
  </si>
  <si>
    <t>Complaint received → Automated classification → Validation workflow → Quality queue</t>
  </si>
  <si>
    <t>Reduced data entry errors</t>
  </si>
  <si>
    <t>Warranty Claim Workflow</t>
  </si>
  <si>
    <t>Affected KPI</t>
  </si>
  <si>
    <t>Explant received → Manual verification → Multiple approvals → Claim closure</t>
  </si>
  <si>
    <t>Explant received → Rules engine → Intelligent routing → Electronic approval workflow</t>
  </si>
  <si>
    <t>Reduced cycle times</t>
  </si>
  <si>
    <t>Warranty Claim Timeliness</t>
  </si>
  <si>
    <t>Reduced backlog</t>
  </si>
  <si>
    <t>Reduced manual touch points</t>
  </si>
  <si>
    <t>Inventory Audit Workflow</t>
  </si>
  <si>
    <t>Manual inventory review and reminders</t>
  </si>
  <si>
    <t>Automated audit scheduling + Automated notification sequence + Exception management</t>
  </si>
  <si>
    <t>Reduced audit effort</t>
  </si>
  <si>
    <t>Increased completion rate</t>
  </si>
  <si>
    <t>2. Process Automation Opportunities (RPA / Hyperautomation)</t>
  </si>
  <si>
    <t>These are automation candidates with immediate ROI.</t>
  </si>
  <si>
    <t>Order Entry Automation</t>
  </si>
  <si>
    <t>Automation</t>
  </si>
  <si>
    <t>Email order → Agent reads → Agent enters order</t>
  </si>
  <si>
    <t>OCR + Order Extraction + API Entry</t>
  </si>
  <si>
    <t>Faster turnaround</t>
  </si>
  <si>
    <t>Reduced accuracy issues</t>
  </si>
  <si>
    <t>Automation Level</t>
  </si>
  <si>
    <t>70-90%</t>
  </si>
  <si>
    <t>Government Order Validation</t>
  </si>
  <si>
    <t>Rules engine verifies:</t>
  </si>
  <si>
    <t>Near-zero manual validation</t>
  </si>
  <si>
    <t>Pricing</t>
  </si>
  <si>
    <t>Contract eligibility</t>
  </si>
  <si>
    <t>PO validity</t>
  </si>
  <si>
    <t>Compliance checks</t>
  </si>
  <si>
    <t>Return Processing Automation</t>
  </si>
  <si>
    <t>Auto-create return authorization</t>
  </si>
  <si>
    <t>Auto-post inventory updates</t>
  </si>
  <si>
    <t>Auto-generate refund case</t>
  </si>
  <si>
    <t>PO Pending Follow-Up Automation</t>
  </si>
  <si>
    <t>System automatically:</t>
  </si>
  <si>
    <t>Sends reminders</t>
  </si>
  <si>
    <t>Tracks aging</t>
  </si>
  <si>
    <t>Escalates after thresholds</t>
  </si>
  <si>
    <t>Device Tracking Automation</t>
  </si>
  <si>
    <t>Extract:</t>
  </si>
  <si>
    <t>Physician name</t>
  </si>
  <si>
    <t>Serial numbers</t>
  </si>
  <si>
    <t>Device IDs</t>
  </si>
  <si>
    <t>Automatically populate tracking system</t>
  </si>
  <si>
    <t>Reporting Automation</t>
  </si>
  <si>
    <t>Admin Executive creates dashboards manually. [MEntor-Wip...l - signed | PDF]</t>
  </si>
  <si>
    <t>Power BI refresh</t>
  </si>
  <si>
    <t>Eliminate manual reporting effort</t>
  </si>
  <si>
    <t>Automated SLA pack generation</t>
  </si>
  <si>
    <t>Executive scorecards</t>
  </si>
  <si>
    <t>3. AI / ML Optimization Opportunities</t>
  </si>
  <si>
    <t>These go beyond automation into prediction and decision support.</t>
  </si>
  <si>
    <t>Customer Contact Volume Forecasting</t>
  </si>
  <si>
    <t>ML Model</t>
  </si>
  <si>
    <t>Predict:</t>
  </si>
  <si>
    <t>Better workforce planning</t>
  </si>
  <si>
    <t>Calls</t>
  </si>
  <si>
    <t>Emails</t>
  </si>
  <si>
    <t>Orders</t>
  </si>
  <si>
    <t>Complaint volumes</t>
  </si>
  <si>
    <t>Attrition Prediction</t>
  </si>
  <si>
    <t>ML Inputs</t>
  </si>
  <si>
    <t>Outputs</t>
  </si>
  <si>
    <t>Attendance</t>
  </si>
  <si>
    <t>Risk score per employee</t>
  </si>
  <si>
    <t>Proactive retention</t>
  </si>
  <si>
    <t>Performance</t>
  </si>
  <si>
    <t>Workload</t>
  </si>
  <si>
    <t>SLA Breach Prediction</t>
  </si>
  <si>
    <t>ML predicts:</t>
  </si>
  <si>
    <t>Complaint SLA misses</t>
  </si>
  <si>
    <t>Prevent service credits</t>
  </si>
  <si>
    <t>Warranty SLA misses</t>
  </si>
  <si>
    <t>Order release misses</t>
  </si>
  <si>
    <t>The engagement has financially at-risk SLA metrics tied to complaint intake, warranty processing, government orders, and order release. [MEntor-Wip...l - signed | PDF]</t>
  </si>
  <si>
    <t>Prediction horizon</t>
  </si>
  <si>
    <t>Same day</t>
  </si>
  <si>
    <t>Next day</t>
  </si>
  <si>
    <t>Next week</t>
  </si>
  <si>
    <t>CSAT Prediction Engine</t>
  </si>
  <si>
    <t>Inputs</t>
  </si>
  <si>
    <t>Predict customer satisfaction before survey results arrive.</t>
  </si>
  <si>
    <t>Hold time</t>
  </si>
  <si>
    <t>Customer dissatisfaction risk</t>
  </si>
  <si>
    <t>Prevent poor customer experience.</t>
  </si>
  <si>
    <t>Transfers</t>
  </si>
  <si>
    <t>Resolution quality</t>
  </si>
  <si>
    <t>Inventory Expiry Prediction</t>
  </si>
  <si>
    <t>ML can predict:</t>
  </si>
  <si>
    <t>Future expirations</t>
  </si>
  <si>
    <t>Reduce inventory losses</t>
  </si>
  <si>
    <t>Non-return probability</t>
  </si>
  <si>
    <t>Inventory risk locations</t>
  </si>
  <si>
    <t>Complaint Classification Model</t>
  </si>
  <si>
    <t>Automatically classify:</t>
  </si>
  <si>
    <t>Product complaint</t>
  </si>
  <si>
    <t>Faster routing</t>
  </si>
  <si>
    <t>Warranty issue</t>
  </si>
  <si>
    <t>Adverse event</t>
  </si>
  <si>
    <t>Device tracking issue</t>
  </si>
  <si>
    <t>4. LLM-Based Optimization Opportunities</t>
  </si>
  <si>
    <t>This is where the largest transformation opportunity exists.</t>
  </si>
  <si>
    <t>The work order already mentions contemplated AI assets:</t>
  </si>
  <si>
    <t>mentor-cli</t>
  </si>
  <si>
    <t>These can evolve into a full Agentic AI operating model.</t>
  </si>
  <si>
    <t>Customer Self-Service Agent (mentor-bot)</t>
  </si>
  <si>
    <t>Channels</t>
  </si>
  <si>
    <t>Capabilities</t>
  </si>
  <si>
    <t>Potential Deflection</t>
  </si>
  <si>
    <t>Web</t>
  </si>
  <si>
    <t>Order status</t>
  </si>
  <si>
    <t>30-50% of customer contacts</t>
  </si>
  <si>
    <t>Chat</t>
  </si>
  <si>
    <t>Shipment status</t>
  </si>
  <si>
    <t>Mobile</t>
  </si>
  <si>
    <t>WhatsApp</t>
  </si>
  <si>
    <t>Warranty status</t>
  </si>
  <si>
    <t>Teams</t>
  </si>
  <si>
    <t>Inventory inquiries</t>
  </si>
  <si>
    <t>mentor-assist</t>
  </si>
  <si>
    <t>Agent Assist Copilot (mentor-assist)</t>
  </si>
  <si>
    <t>Real-time support for agents:</t>
  </si>
  <si>
    <t>Suggested responses</t>
  </si>
  <si>
    <t>Metric</t>
  </si>
  <si>
    <t>SOP guidance</t>
  </si>
  <si>
    <t>15-30%</t>
  </si>
  <si>
    <t>Knowledge retrieval</t>
  </si>
  <si>
    <t>20-40%</t>
  </si>
  <si>
    <t>Compliance validation</t>
  </si>
  <si>
    <t>10-20%</t>
  </si>
  <si>
    <t>Next-best-action</t>
  </si>
  <si>
    <t>Training Time</t>
  </si>
  <si>
    <t>40-60%</t>
  </si>
  <si>
    <t>Warranty Copilot</t>
  </si>
  <si>
    <t>Summarize claim</t>
  </si>
  <si>
    <t>Reduced processing time</t>
  </si>
  <si>
    <t>Determine missing information</t>
  </si>
  <si>
    <t>Improved consistency</t>
  </si>
  <si>
    <t>Generate case notes</t>
  </si>
  <si>
    <t>Generate approval packages</t>
  </si>
  <si>
    <t>Complaint Intake Copilot</t>
  </si>
  <si>
    <t>Capture free text complaints</t>
  </si>
  <si>
    <t>Faster intake</t>
  </si>
  <si>
    <t>Extract entities</t>
  </si>
  <si>
    <t>Populate complaint forms</t>
  </si>
  <si>
    <t>Suggest regulatory classification</t>
  </si>
  <si>
    <t>Device Tracking Copilot</t>
  </si>
  <si>
    <t>Read uploaded forms and automatically extract:</t>
  </si>
  <si>
    <t>Physician details</t>
  </si>
  <si>
    <t>Device information</t>
  </si>
  <si>
    <t>Populate tracking records automatically.</t>
  </si>
  <si>
    <t>Knowledge Management Copilot</t>
  </si>
  <si>
    <t>Current challenge:</t>
  </si>
  <si>
    <t>Optimization:</t>
  </si>
  <si>
    <t>Agents search SOPs manually.</t>
  </si>
  <si>
    <t>LLM retrieves:</t>
  </si>
  <si>
    <t>Reduced training burden</t>
  </si>
  <si>
    <t>Faster resolution</t>
  </si>
  <si>
    <t>SOPs</t>
  </si>
  <si>
    <t>Policies</t>
  </si>
  <si>
    <t>Pricing guidance</t>
  </si>
  <si>
    <t>Escalation procedures</t>
  </si>
  <si>
    <t>in conversational language.</t>
  </si>
  <si>
    <t>Generate automatically:</t>
  </si>
  <si>
    <t>Daily Operations Review</t>
  </si>
  <si>
    <t>Reduce reporting effort by 70-90%</t>
  </si>
  <si>
    <t>The contract requires weekly, monthly, and quarterly governance reporting. [MEntor-Wip...l - signed | PDF]</t>
  </si>
  <si>
    <t>Weekly Business Review</t>
  </si>
  <si>
    <t>Monthly Performance Review</t>
  </si>
  <si>
    <t>Quarterly Steering Committee Packs</t>
  </si>
  <si>
    <t>Agentic AI Opportunities (Highest Value)</t>
  </si>
  <si>
    <t>Automatically:</t>
  </si>
  <si>
    <t>Forecast demand</t>
  </si>
  <si>
    <t>Calculate staffing</t>
  </si>
  <si>
    <t>Recommend schedules</t>
  </si>
  <si>
    <t>Detect SLA risks</t>
  </si>
  <si>
    <t>Supports:</t>
  </si>
  <si>
    <t>Select samples</t>
  </si>
  <si>
    <t>QA Evaluation Score</t>
  </si>
  <si>
    <t>Execute QA reviews</t>
  </si>
  <si>
    <t>Detect deviations</t>
  </si>
  <si>
    <t>Generate CAPA recommendations</t>
  </si>
  <si>
    <t>Customer 360 &amp; Unified Interaction History</t>
  </si>
  <si>
    <t>Customer interactions, warranty, complaint, order and device history are fragmented across systems</t>
  </si>
  <si>
    <t>Customer 360 Platform with Unified Conversation Repository and Customer Context Service</t>
  </si>
  <si>
    <t>Improved FCR, Reduced AHT, Improved CSAT, Omnichannel Continuity &gt;95% [Medical_De...Inc_Mentor | Excel]</t>
  </si>
  <si>
    <t>Agents manually search SOPs, policies and historical cases</t>
  </si>
  <si>
    <t>Enterprise Knowledge Copilot leveraging RAG, Knowledge Portal and Interaction History</t>
  </si>
  <si>
    <t>Faster resolution, Reduced training effort, Improved Knowledge Search Success &gt;90% [Medical_De...Inc_Mentor | Excel]</t>
  </si>
  <si>
    <t>Quality reviews remain sample based and labor intensive</t>
  </si>
  <si>
    <t>AI QA Evaluator, Speech Analytics and Conversational Intelligence Platform</t>
  </si>
  <si>
    <t>100% QA Coverage, Reduced Audit Effort, Better Compliance Monitoring [Medical_De...Inc_Mentor | Excel]</t>
  </si>
  <si>
    <t>Customer Sentiment &amp; Escalation Prediction</t>
  </si>
  <si>
    <t>Escalations are identified only after customer dissatisfaction occurs</t>
  </si>
  <si>
    <t>Sentiment Analytics Engine and Customer Experience Risk Engine</t>
  </si>
  <si>
    <t>Reduced Complaints, Better Retention, Proactive Intervention Success &gt;80% [Medical_De...Inc_Mentor | Excel]</t>
  </si>
  <si>
    <t>SLA breaches are managed reactively</t>
  </si>
  <si>
    <t>SLA Predictor, Escalation Predictor and Operational Control Tower</t>
  </si>
  <si>
    <t>50% SLA Breach Reduction, Reduced Service Credits, Improved Availability [Medical_De...Inc_Mentor | Excel]</t>
  </si>
  <si>
    <t>Workforce Forecasting AI</t>
  </si>
  <si>
    <t>Staffing and scheduling are largely historical and reactive</t>
  </si>
  <si>
    <t>Workforce Forecasting Platform, Schedule Optimizer and Workforce Copilot</t>
  </si>
  <si>
    <t>Forecast Accuracy &gt;90%, Overtime Reduction, Better Utilization [Medical_De...Inc_Mentor | Excel]</t>
  </si>
  <si>
    <t>Inventory Intelligence</t>
  </si>
  <si>
    <t>Inventory expiry, retrieval and recovery activities are manually managed</t>
  </si>
  <si>
    <t>Inventory Forecast Platform, Inventory Risk Heatmap and Digital Inventory Twin</t>
  </si>
  <si>
    <t>Reduced Inventory Loss, Improved Retrieval Success, Better Audit Compliance [Medical_De...Inc_Mentor | Excel]</t>
  </si>
  <si>
    <t>Weekly, monthly and quarterly governance packs are manually prepared</t>
  </si>
  <si>
    <t>Governance Copilot and Executive Review Generator</t>
  </si>
  <si>
    <t>70-90% Reporting Effort Reduction, Faster Decision Making [Medical_De...Inc_Mentor | Excel]</t>
  </si>
  <si>
    <t>Automated RCA &amp; CAPA</t>
  </si>
  <si>
    <t>Root cause analysis requires significant manual effort</t>
  </si>
  <si>
    <t>RCA Generation Agent and Defect Clustering Engine</t>
  </si>
  <si>
    <t>Faster RCA, Better Corrective Actions, Reduced Repeat Defects [Medical_De...Inc_Mentor | Excel]</t>
  </si>
  <si>
    <t>Device information extraction is manual and error prone</t>
  </si>
  <si>
    <t>OCR, Intelligent Document Processing and Device Validation Engine</t>
  </si>
  <si>
    <t>&gt;99% Device Tracking Accuracy, Reduced Manual Entry [Medical_De...Inc_Mentor | Excel]</t>
  </si>
  <si>
    <t>PO collection and follow-up activities are manually tracked</t>
  </si>
  <si>
    <t>AI Follow-Up Agent and Automated Escalation Engine</t>
  </si>
  <si>
    <t>Reduced Aging, Improved Billing Closure, Better Cash Flow [Medical_De...Inc_Mentor | Excel]</t>
  </si>
  <si>
    <t>Revenue Leakage Detection</t>
  </si>
  <si>
    <t>Revenue leakage identified after financial impact</t>
  </si>
  <si>
    <t>Revenue Integrity Agent monitoring Orders, Billing, Returns and Inventory</t>
  </si>
  <si>
    <t>Reduced Revenue Leakage, Improved Financial Controls [Medical_De...Inc_Mentor | Excel]</t>
  </si>
  <si>
    <t>AI Revenue Integrity Agent</t>
  </si>
  <si>
    <t>Monitors:</t>
  </si>
  <si>
    <t>Government orders</t>
  </si>
  <si>
    <t>Inventory</t>
  </si>
  <si>
    <t>Detects revenue leakage.</t>
  </si>
  <si>
    <t>AI agents lack centralized governance and identity controls</t>
  </si>
  <si>
    <t>AI Agent Identity Service with Authentication, Authorization and Audit Controls</t>
  </si>
  <si>
    <t>Governance Readiness, Accountability, Auditability [Medical_De...Inc_Mentor | Excel]</t>
  </si>
  <si>
    <t>No structured lifecycle for AI agents</t>
  </si>
  <si>
    <t>Agent Lifecycle Platform covering Request, Design, Approve, Register, Activate, Monitor and Retire</t>
  </si>
  <si>
    <t>Controlled AI Adoption, Compliance, Risk Reduction [Medical_De...Inc_Mentor | Excel]</t>
  </si>
  <si>
    <t>Enterprise Agent Registry</t>
  </si>
  <si>
    <t>Agent ownership and inventory not centrally managed</t>
  </si>
  <si>
    <t>Enterprise Agent Catalog and Registration Platform</t>
  </si>
  <si>
    <t>Visibility, Ownership, Governance Traceability [Medical_De...Inc_Mentor | Excel]</t>
  </si>
  <si>
    <t>Multi-Agent Orchestration</t>
  </si>
  <si>
    <t>Agents operate independently with limited collaboration</t>
  </si>
  <si>
    <t>Enterprise Multi-Agent Orchestrator and Agent Communication Bus</t>
  </si>
  <si>
    <t>End-to-End Automation, Better Coordination [Medical_De...Inc_Mentor | Excel]</t>
  </si>
  <si>
    <t>No centralized monitoring of agent behavior and performance</t>
  </si>
  <si>
    <t>Agent Observability Dashboard and Telemetry Platform</t>
  </si>
  <si>
    <t>Risk Detection, Performance Monitoring, Governance Compliance [Medical_De...Inc_Mentor | Excel]</t>
  </si>
  <si>
    <t>AI Risk Management Platform</t>
  </si>
  <si>
    <t>AI operational risks are not continuously monitored</t>
  </si>
  <si>
    <t>Agent Risk Register, Governance Portal and Risk Analytics Platform</t>
  </si>
  <si>
    <t>Reduced AI Risk, Regulatory Compliance [Medical_De...Inc_Mentor | Excel]</t>
  </si>
  <si>
    <t>Autonomous Governance Agent</t>
  </si>
  <si>
    <t>Governance reviews remain human intensive</t>
  </si>
  <si>
    <t>Governance Agent and Compliance Monitoring Agent</t>
  </si>
  <si>
    <t>Faster Governance Execution, Audit Readiness [Medical_De...Inc_Mentor | Excel]</t>
  </si>
  <si>
    <t>Knowledge remains distributed across systems</t>
  </si>
  <si>
    <t>Enterprise Knowledge Brain with Semantic Search, Knowledge Graph and Context Service</t>
  </si>
  <si>
    <t>Knowledge Accuracy &gt;99%, Reduced Hallucinations, Trusted AI Responses [Medical_De...Inc_Mentor | Excel]</t>
  </si>
  <si>
    <t>No centralized command and control for AI workforce</t>
  </si>
  <si>
    <t>AI Operations Control Tower and Enterprise Command Center</t>
  </si>
  <si>
    <t>Enterprise Visibility, Autonomous Governance, Operational Resilience [Medical_De...Inc_Mentor | Excel]</t>
  </si>
  <si>
    <t>Operational issues require human intervention</t>
  </si>
  <si>
    <t>Autonomous Remediation Engine and Self-Healing Platform</t>
  </si>
  <si>
    <t>MTTR Reduction, Reduced Incidents, Higher Automation Rates [Medical_De...Inc_Mentor | Excel]</t>
  </si>
  <si>
    <t>Transformation Value Matrix</t>
  </si>
  <si>
    <t>Initiative</t>
  </si>
  <si>
    <t>Low</t>
  </si>
  <si>
    <t>Complaint Intake Automation</t>
  </si>
  <si>
    <t>Knowledge Copilot</t>
  </si>
  <si>
    <t>Inventory Prediction</t>
  </si>
  <si>
    <t>Agentic Audit Manager</t>
  </si>
  <si>
    <t>Autonomous Warranty Processing</t>
  </si>
  <si>
    <t>Autonomous Order Orchestration</t>
  </si>
  <si>
    <t>Recommended Target State Architecture</t>
  </si>
  <si>
    <t>Year 1</t>
  </si>
  <si>
    <t>This roadmap could realistically reduce operational effort by 25-40%, improve FCR by 10-20%, reduce AHT by 15-30%, improve Case Accuracy to &gt;99%, and significantly reduce the risk of missing the contract's at-risk SLAs. [MEntor-Wip...l - signed | PDF]</t>
  </si>
  <si>
    <t>RPA for Order Entry</t>
  </si>
  <si>
    <t>RPA for Complaint Intake</t>
  </si>
  <si>
    <t>Customer Self-Service Bot</t>
  </si>
  <si>
    <t>Governance Dashboard Automation</t>
  </si>
  <si>
    <t>Year 2</t>
  </si>
  <si>
    <t>SLA Prediction Models</t>
  </si>
  <si>
    <t>Inventory Prediction AI</t>
  </si>
  <si>
    <t>Year 3</t>
  </si>
  <si>
    <t>Agentic Complaint Processing</t>
  </si>
  <si>
    <t>Agentic Warranty Processing</t>
  </si>
  <si>
    <t>Agentic Inventory Management</t>
  </si>
  <si>
    <t>Autonomous Governance &amp; Reporting</t>
  </si>
  <si>
    <t>Questions</t>
  </si>
  <si>
    <t>initiated on</t>
  </si>
  <si>
    <t>Response</t>
  </si>
  <si>
    <t>Response Date</t>
  </si>
  <si>
    <t>Response document Link</t>
  </si>
  <si>
    <t xml:space="preserve">Which are the process flows that has been developed  ?  </t>
  </si>
  <si>
    <t>manoj.singh35@wipro.com</t>
  </si>
  <si>
    <t>Which are the Standard operating Procedures that have been documented ?</t>
  </si>
  <si>
    <t xml:space="preserve">Is the  Business Requirements on the OKR _Business Requirements Validated ? </t>
  </si>
  <si>
    <t>Are there any other Business Requirements that we are addressing as a part of the delivery ?</t>
  </si>
  <si>
    <t>which are the applications of Engagement in the OKR_Business Requirements  Influencing the Process ?</t>
  </si>
  <si>
    <t>amardeep.singh3@wipro.com</t>
  </si>
  <si>
    <t>Do we have access to the data of the process variables that meet into the OKR_ Business Requirements ?</t>
  </si>
  <si>
    <t>raj.lodh@wipro.com</t>
  </si>
  <si>
    <t>Is the KPI and variables for the KPI and source identified ?</t>
  </si>
  <si>
    <t>When can we get the metrics endabled sourcing the data - from the data base- what are the pre requiste , when can we have the plan in the backlog sheet  ?</t>
  </si>
  <si>
    <t>From what is getting delivered every phase are you able to manage the attrition as per expectation ?</t>
  </si>
  <si>
    <t>jnj_ProjectManager</t>
  </si>
  <si>
    <t>jnj_Goveranance</t>
  </si>
  <si>
    <t>Leading Metric</t>
  </si>
  <si>
    <t>Leading Metric Formula</t>
  </si>
  <si>
    <t>Lagging Metric</t>
  </si>
  <si>
    <t>Lagging Metric Formula</t>
  </si>
  <si>
    <t>Data readiness rate</t>
  </si>
  <si>
    <t>Complete, validated and timely source records ÷ required source records × 100</t>
  </si>
  <si>
    <t>Available time or available outputs ÷ scheduled time or scheduled outputs × 100</t>
  </si>
  <si>
    <t>Preventive control completion</t>
  </si>
  <si>
    <t>Preventive checks completed on time ÷ preventive checks planned × 100</t>
  </si>
  <si>
    <t>Correct results ÷ total results assessed × 100</t>
  </si>
  <si>
    <t>At-risk work action rate</t>
  </si>
  <si>
    <t>At-risk items actioned before SLA threshold ÷ at-risk items identified × 100</t>
  </si>
  <si>
    <t>Items visible, covered, logged or certified ÷ total eligible items × 100</t>
  </si>
  <si>
    <t>Compliant items ÷ total items assessed × 100</t>
  </si>
  <si>
    <t>Successfully completed or closed items ÷ total eligible items × 100</t>
  </si>
  <si>
    <t>Workforce Management</t>
  </si>
  <si>
    <t>Workforce plan action completion</t>
  </si>
  <si>
    <t>Workforce or coaching actions completed on time ÷ actions planned × 100</t>
  </si>
  <si>
    <t>Knowledge readiness rate</t>
  </si>
  <si>
    <t>Approved, current knowledge items available ÷ required knowledge items × 100</t>
  </si>
  <si>
    <t>Proactive customer action completion</t>
  </si>
  <si>
    <t>Customer actions completed within planned time ÷ customer actions due × 100</t>
  </si>
  <si>
    <t>Incident Management</t>
  </si>
  <si>
    <t>Technology Availability</t>
  </si>
  <si>
    <t>Preventive incident action completion</t>
  </si>
  <si>
    <t>Preventive actions completed by due date ÷ preventive actions due × 100</t>
  </si>
  <si>
    <t>Documentation</t>
  </si>
  <si>
    <t>Process Design</t>
  </si>
  <si>
    <t>Driver action completion</t>
  </si>
  <si>
    <t>KPI-driving actions completed on time ÷ KPI-driving actions planned × 100</t>
  </si>
  <si>
    <t>Policy Compliance</t>
  </si>
  <si>
    <t>Service Management</t>
  </si>
  <si>
    <t>Certification</t>
  </si>
  <si>
    <t>Change Adoption</t>
  </si>
  <si>
    <t>Enablement completion rate</t>
  </si>
  <si>
    <t>Users completing required enablement ÷ users targeted × 100</t>
  </si>
  <si>
    <t>Active users ÷ eligible users × 100</t>
  </si>
  <si>
    <t>Total elapsed time ÷ completed items</t>
  </si>
  <si>
    <t>Processing Quality</t>
  </si>
  <si>
    <t>(Baseline value − current value) ÷ baseline value × 100</t>
  </si>
  <si>
    <t>Model input readiness</t>
  </si>
  <si>
    <t>Complete, timely model-input records ÷ required model-input records × 100</t>
  </si>
  <si>
    <t>Completed output ÷ productive resource hours</t>
  </si>
  <si>
    <t>Positive survey responses ÷ total valid survey responses × 100</t>
  </si>
  <si>
    <t>Data Quality</t>
  </si>
  <si>
    <t>Quality points achieved ÷ maximum quality points × 100</t>
  </si>
  <si>
    <t>Complaint Management</t>
  </si>
  <si>
    <t>Count of qualifying events during the reporting period; reduction = (baseline − current) ÷ baseline × 100</t>
  </si>
  <si>
    <t>Case Management</t>
  </si>
  <si>
    <t>KPI-compliant outcomes ÷ total eligible outcomes × 100</t>
  </si>
  <si>
    <t>Device Management</t>
  </si>
  <si>
    <t>Resolution Effectiveness</t>
  </si>
  <si>
    <t>Cases resolved at first contact ÷ total cases × 100</t>
  </si>
  <si>
    <t>Inventory Management</t>
  </si>
  <si>
    <t>Asset Management</t>
  </si>
  <si>
    <t>Notification Management</t>
  </si>
  <si>
    <t>Inventory action completion</t>
  </si>
  <si>
    <t>Inventory, recovery or procurement actions completed on time ÷ actions due × 100</t>
  </si>
  <si>
    <t>Procurement</t>
  </si>
  <si>
    <t>Inventory Automation</t>
  </si>
  <si>
    <t>Automation readiness rate</t>
  </si>
  <si>
    <t>Eligible processes with approved rules, controls and exception paths ÷ eligible processes × 100</t>
  </si>
  <si>
    <t>Contacts resolved without live agent ÷ total eligible contacts × 100</t>
  </si>
  <si>
    <t>AI Compliance</t>
  </si>
  <si>
    <t>Technology Adoption</t>
  </si>
  <si>
    <t>Employee Experience</t>
  </si>
  <si>
    <t>Audit Efficiency</t>
  </si>
  <si>
    <t>Coaching Effectiveness</t>
  </si>
  <si>
    <t>Interaction Analytics</t>
  </si>
  <si>
    <t>Productive handling time ÷ staffed available time × 100</t>
  </si>
  <si>
    <t>Workforce Retention</t>
  </si>
  <si>
    <t>Workforce Efficiency</t>
  </si>
  <si>
    <t>Productive resource time ÷ total available resource time × 100</t>
  </si>
  <si>
    <t>Capacity Planning</t>
  </si>
  <si>
    <t>Workforce Optimization</t>
  </si>
  <si>
    <t>Workforce Planning</t>
  </si>
  <si>
    <t>Commercial Management</t>
  </si>
  <si>
    <t>Cost-control action completion</t>
  </si>
  <si>
    <t>Approved cost or leakage actions completed ÷ actions planned × 100</t>
  </si>
  <si>
    <t>Current-period amount or hours; reduction = (baseline − current) ÷ baseline × 100</t>
  </si>
  <si>
    <t>Open items remaining at period end; reduction = (baseline backlog − current backlog) ÷ baseline backlog × 100</t>
  </si>
  <si>
    <t>Predictive Analytics</t>
  </si>
  <si>
    <t>Predictive Operations</t>
  </si>
  <si>
    <t>Asset Recovery</t>
  </si>
  <si>
    <t>Inventory Cost</t>
  </si>
  <si>
    <t>Inventory Availability</t>
  </si>
  <si>
    <t>Qualifying items ÷ total eligible items × 100</t>
  </si>
  <si>
    <t>Document Processing</t>
  </si>
  <si>
    <t>Cost Efficiency</t>
  </si>
  <si>
    <t>Performance Analytics</t>
  </si>
  <si>
    <t>Risk Analytics</t>
  </si>
  <si>
    <t>Executive Experience</t>
  </si>
  <si>
    <t>Enterprise Automation</t>
  </si>
  <si>
    <t>Agent Operations</t>
  </si>
  <si>
    <t>Digital Workforce</t>
  </si>
  <si>
    <t>Total operating cost ÷ completed transactions</t>
  </si>
  <si>
    <t>Reporting Efficiency</t>
  </si>
  <si>
    <t>Enterprise Visibility</t>
  </si>
  <si>
    <t>AI Knowledge Quality</t>
  </si>
  <si>
    <t>Knowledge Performance</t>
  </si>
  <si>
    <t>AI Quality</t>
  </si>
  <si>
    <t>User Experience</t>
  </si>
  <si>
    <t>Process Efficiency</t>
  </si>
  <si>
    <t>Operational Quality</t>
  </si>
  <si>
    <t>Resource Management</t>
  </si>
  <si>
    <t>CONSULTING FLOWS — ADDITIVE PERSONA KPI FRAMEWORK</t>
  </si>
  <si>
    <t>Scope</t>
  </si>
  <si>
    <t>Framework</t>
  </si>
  <si>
    <t>Cross-Phase</t>
  </si>
  <si>
    <t>Surgeon Journey KPI</t>
  </si>
  <si>
    <t>Baseline / owner approval</t>
  </si>
  <si>
    <t>Additive measure</t>
  </si>
  <si>
    <t>Product Knowledge readiness</t>
  </si>
  <si>
    <t>Discover products and review clinical evidence. requirements completed ÷ applicable requirements × 100</t>
  </si>
  <si>
    <t>Clinical Accuracy readiness</t>
  </si>
  <si>
    <t>Select implant and sizer configuration. requirements completed ÷ applicable requirements × 100</t>
  </si>
  <si>
    <t>Order Quality readiness</t>
  </si>
  <si>
    <t>Prepare and submit procedure or easy orders. requirements completed ÷ applicable requirements × 100</t>
  </si>
  <si>
    <t>Procedure Readiness readiness</t>
  </si>
  <si>
    <t>Confirm product availability and delivery for cases. requirements completed ÷ applicable requirements × 100</t>
  </si>
  <si>
    <t>Clinical Enablement readiness</t>
  </si>
  <si>
    <t>Access clinical education and case support. requirements completed ÷ applicable requirements × 100</t>
  </si>
  <si>
    <t>Post-Procedure Control readiness</t>
  </si>
  <si>
    <t>Reconcile products used after procedures. requirements completed ÷ applicable requirements × 100</t>
  </si>
  <si>
    <t>Warranty &amp; Compliance readiness</t>
  </si>
  <si>
    <t>Initiate returns, warranty claims, and device registration. requirements completed ÷ applicable requirements × 100</t>
  </si>
  <si>
    <t>Patient Safety readiness</t>
  </si>
  <si>
    <t>Report product issues and complaints promptly. requirements completed ÷ applicable requirements × 100</t>
  </si>
  <si>
    <t>Office Manager Journey KPI</t>
  </si>
  <si>
    <t>Account Management readiness</t>
  </si>
  <si>
    <t>Maintain account, contacts, users, and permissions. requirements completed ÷ applicable requirements × 100</t>
  </si>
  <si>
    <t>Create and submit customer orders. requirements completed ÷ applicable requirements × 100</t>
  </si>
  <si>
    <t>Commercial Compliance readiness</t>
  </si>
  <si>
    <t>Manage pricing, purchase orders, and commercial details. requirements completed ÷ applicable requirements × 100</t>
  </si>
  <si>
    <t>Inventory Readiness readiness</t>
  </si>
  <si>
    <t>Manage inventory, consignment, and procedure availability. requirements completed ÷ applicable requirements × 100</t>
  </si>
  <si>
    <t>Fulfillment Visibility readiness</t>
  </si>
  <si>
    <t>Track shipments and resolve delivery exceptions. requirements completed ÷ applicable requirements × 100</t>
  </si>
  <si>
    <t>Billing &amp; Payment readiness</t>
  </si>
  <si>
    <t>Review invoices, balances, payments, and credits. requirements completed ÷ applicable requirements × 100</t>
  </si>
  <si>
    <t>Post-Procedure Support readiness</t>
  </si>
  <si>
    <t>Coordinate returns, warranty, and device-tracking activities. requirements completed ÷ applicable requirements × 100</t>
  </si>
  <si>
    <t>Sales Rep Journey KPI</t>
  </si>
  <si>
    <t>Relationship Management readiness</t>
  </si>
  <si>
    <t>Manage customer accounts and relationships. requirements completed ÷ applicable requirements × 100</t>
  </si>
  <si>
    <t>Product Adoption readiness</t>
  </si>
  <si>
    <t>Recommend products and support product selection. requirements completed ÷ applicable requirements × 100</t>
  </si>
  <si>
    <t>Commercial Effectiveness readiness</t>
  </si>
  <si>
    <t>Support quotes, pricing, and order placement. requirements completed ÷ applicable requirements × 100</t>
  </si>
  <si>
    <t>Customer Experience readiness</t>
  </si>
  <si>
    <t>Coordinate cases, samples, and customer issues. requirements completed ÷ applicable requirements × 100</t>
  </si>
  <si>
    <t>Growth readiness</t>
  </si>
  <si>
    <t>Identify customer opportunities and whitespace. requirements completed ÷ applicable requirements × 100</t>
  </si>
  <si>
    <t>Forecasting readiness</t>
  </si>
  <si>
    <t>Maintain pipeline and forecast territory demand. requirements completed ÷ applicable requirements × 100</t>
  </si>
  <si>
    <t>Customer Retention readiness</t>
  </si>
  <si>
    <t>Execute retention actions and manage escalations. requirements completed ÷ applicable requirements × 100</t>
  </si>
  <si>
    <t>CSR Journey KPI</t>
  </si>
  <si>
    <t>Customer Onboarding readiness</t>
  </si>
  <si>
    <t>Create and update customer accounts. requirements completed ÷ applicable requirements × 100</t>
  </si>
  <si>
    <t>Capture and submit customer orders. requirements completed ÷ applicable requirements × 100</t>
  </si>
  <si>
    <t>Order Compliance readiness</t>
  </si>
  <si>
    <t>Validate customer, commercial, financial, and availability rules. requirements completed ÷ applicable requirements × 100</t>
  </si>
  <si>
    <t>Order Management readiness</t>
  </si>
  <si>
    <t>Manage order changes, repeat orders, and exceptions. requirements completed ÷ applicable requirements × 100</t>
  </si>
  <si>
    <t>Service Responsiveness readiness</t>
  </si>
  <si>
    <t>Provide order, shipment, and delivery status. requirements completed ÷ applicable requirements × 100</t>
  </si>
  <si>
    <t>Research and respond to customer inquiries. requirements completed ÷ applicable requirements × 100</t>
  </si>
  <si>
    <t>Returns &amp; Credits readiness</t>
  </si>
  <si>
    <t>Initiate returns and communicate credits. requirements completed ÷ applicable requirements × 100</t>
  </si>
  <si>
    <t>Complaint &amp; Warranty readiness</t>
  </si>
  <si>
    <t>Capture complaints, warranty claims, and device records. requirements completed ÷ applicable requirements × 100</t>
  </si>
  <si>
    <t>Billing Support readiness</t>
  </si>
  <si>
    <t>Support invoice, balance, payment, and billing questions. requirements completed ÷ applicable requirements × 100</t>
  </si>
  <si>
    <t>Issue Resolution readiness</t>
  </si>
  <si>
    <t>Resolve or escalate product and order issues. requirements completed ÷ applicable requirements × 100</t>
  </si>
  <si>
    <t>Patient Journey KPI</t>
  </si>
  <si>
    <t>Patient Education readiness</t>
  </si>
  <si>
    <t>Access approved product and implant information. requirements completed ÷ applicable requirements × 100</t>
  </si>
  <si>
    <t>Care Navigation readiness</t>
  </si>
  <si>
    <t>Use information to support surgeon selection. requirements completed ÷ applicable requirements × 100</t>
  </si>
  <si>
    <t>Informed Decision Support readiness</t>
  </si>
  <si>
    <t>Review implant, safety, and clinical education materials. requirements completed ÷ applicable requirements × 100</t>
  </si>
  <si>
    <t>Warranty Registration readiness</t>
  </si>
  <si>
    <t>Register warranty and device information. requirements completed ÷ applicable requirements × 100</t>
  </si>
  <si>
    <t>Patient Support readiness</t>
  </si>
  <si>
    <t>Submit warranty questions or product concerns. requirements completed ÷ applicable requirements × 100</t>
  </si>
  <si>
    <t>Service Transparency readiness</t>
  </si>
  <si>
    <t>Track warranty or support request status. requirements completed ÷ applicable requirements × 100</t>
  </si>
  <si>
    <t>ARCHITECTURE REVIEW BOARD READINESS ASSESSMENT</t>
  </si>
  <si>
    <t>Mentor Agentic AI platform — reconciled to Component List (1).pdf, the value stream, governance artifacts, and integration inventory.</t>
  </si>
  <si>
    <t>Total review checks</t>
  </si>
  <si>
    <t>Defined</t>
  </si>
  <si>
    <t>Partial / evidence required</t>
  </si>
  <si>
    <t>ARCHITECTURE DOMAIN ASSESSMENT</t>
  </si>
  <si>
    <t>ARB Domain</t>
  </si>
  <si>
    <t>Authoritative Components / Pattern</t>
  </si>
  <si>
    <t>Assessment</t>
  </si>
  <si>
    <t>Evidence Required for Approval</t>
  </si>
  <si>
    <t>ARB Position</t>
  </si>
  <si>
    <t>1. Business Architecture</t>
  </si>
  <si>
    <t>Customer-service capabilities, journeys, ownership, value and KPIs</t>
  </si>
  <si>
    <t>Customer Support, Refunds, New Accounts, Device Tracking, Field Inventory, Body Aesthetics and Admin Support capabilities</t>
  </si>
  <si>
    <t>Capability owners, baselines, benefit KPIs and service acceptance criteria</t>
  </si>
  <si>
    <t>Conditional</t>
  </si>
  <si>
    <t>2. Channel Architecture</t>
  </si>
  <si>
    <t>Public and private customer/CSR interaction channels</t>
  </si>
  <si>
    <t>Front Door + WAF, Static Web App, APIM, Microsoft Graph email, Genesys Cloud, Voice Live API, private CSR Agent Assist</t>
  </si>
  <si>
    <t>Channel NFRs, fallback paths, connectivity and continuity test results</t>
  </si>
  <si>
    <t>3. Security Architecture</t>
  </si>
  <si>
    <t>Identity, private access, PHI controls, secrets and AI safety</t>
  </si>
  <si>
    <t>Entra ID, Identity Verification, ExpressRoute, Private DNS, Private Endpoint, Key Vault, Firewall + NAT and NeMo Guardrails</t>
  </si>
  <si>
    <t>Threat model, privacy assessment, penetration results and control-owner sign-off</t>
  </si>
  <si>
    <t>4. Application Architecture</t>
  </si>
  <si>
    <t>Orchestration, agent tiers, approvals and workflow execution</t>
  </si>
  <si>
    <t>LangGraph Orchestrator, Skill Registry, Tier 2 Shallow Agents, Tier 1 Deep Agents, HITL Approval Gate and AKS</t>
  </si>
  <si>
    <t>Agent identity matrix, failure/retry design, ADRs and approval enforcement tests</t>
  </si>
  <si>
    <t>5. Data Architecture</t>
  </si>
  <si>
    <t>Operational state, knowledge, ingestion, retention and audit</t>
  </si>
  <si>
    <t>PostgreSQL, Redis, Azure AI Search, SharePoint, Blob Storage, NV-Ingest, Functions / ADF, Event Grid and App Configuration</t>
  </si>
  <si>
    <t>Classification, lineage, golden-source ownership, recovery tests and refresh SLAs</t>
  </si>
  <si>
    <t>6. Integration Architecture</t>
  </si>
  <si>
    <t>Direct APIs, messaging and controlled RPA</t>
  </si>
  <si>
    <t>JDE, Salesforce, Paymetric, Graph, SharePoint and IRIS / ServiceNow APIs; Service Bus, Event Hubs; Playwright RPA to legacy/third parties</t>
  </si>
  <si>
    <t>Interface contracts, authentication, quotas, SLAs, DLQ/retry settings and bot identities</t>
  </si>
  <si>
    <t>7. Technology &amp; Operations</t>
  </si>
  <si>
    <t>Runtime, delivery, scalability, resilience and observability</t>
  </si>
  <si>
    <t>AKS, Container Registry, Jenkins, Bitbucket, Terraform, Azure Monitor, App Insights, Log Analytics, Prometheus, Grafana and LangSmith</t>
  </si>
  <si>
    <t>Deployment topology, capacity model, RTO/RPO, test results, SLOs and runbooks</t>
  </si>
  <si>
    <t>STORY IN BRIEF</t>
  </si>
  <si>
    <t>The target architecture is coherent and the principal components are defined, but ARB approval should remain conditional. The strongest areas are omnichannel entry, centralized orchestration, governed agent execution, API/RPA separation, and observability. The material gaps are approval evidence rather than component selection: accountable business ownership, measurable NFRs, privacy and security assurance, data governance, HA/DR proof, operational runbooks, and AI evaluation thresholds. Progression to production should therefore use evidence-based gates rather than a single design approval.</t>
  </si>
  <si>
    <t>DETAILED ARB REVIEW CHECKLIST</t>
  </si>
  <si>
    <t>Review Criterion</t>
  </si>
  <si>
    <t>Evidence Expected</t>
  </si>
  <si>
    <t>Current Assessment</t>
  </si>
  <si>
    <t>Required Action</t>
  </si>
  <si>
    <t>Decision</t>
  </si>
  <si>
    <t>Business</t>
  </si>
  <si>
    <t>Capability map, customer journeys and value stream</t>
  </si>
  <si>
    <t>Approved capability and value-stream maps</t>
  </si>
  <si>
    <t>Confirm scope with business process owners</t>
  </si>
  <si>
    <t>Accountable owner for every agent and capability</t>
  </si>
  <si>
    <t>Business/technology ownership matrix</t>
  </si>
  <si>
    <t>Evidence required</t>
  </si>
  <si>
    <t>Assign accountable owners and escalation paths</t>
  </si>
  <si>
    <t>Open</t>
  </si>
  <si>
    <t>Baseline, target KPI and benefits realization</t>
  </si>
  <si>
    <t>KPI catalogue and benefits case</t>
  </si>
  <si>
    <t>Define measurable service, quality and value targets</t>
  </si>
  <si>
    <t>Channel</t>
  </si>
  <si>
    <t>Public web entry, protection and API control</t>
  </si>
  <si>
    <t>Context/network diagram and WAF/APIM policy evidence</t>
  </si>
  <si>
    <t>Validate certificates, DNS, rate limits and quotas</t>
  </si>
  <si>
    <t>Private CSR connectivity</t>
  </si>
  <si>
    <t>ExpressRoute, Private DNS and endpoint connectivity tests</t>
  </si>
  <si>
    <t>Attach private-path test results</t>
  </si>
  <si>
    <t>Voice/email continuity and failure handling</t>
  </si>
  <si>
    <t>Fallback and channel-continuity runbooks</t>
  </si>
  <si>
    <t>Document degraded-mode and recovery paths</t>
  </si>
  <si>
    <t>Application</t>
  </si>
  <si>
    <t>Orchestrator routing and skill discovery</t>
  </si>
  <si>
    <t>Logical sequence diagrams and routing ADR</t>
  </si>
  <si>
    <t>Approve routing and extensibility decision</t>
  </si>
  <si>
    <t>Agent boundaries, identities and least privilege</t>
  </si>
  <si>
    <t>Agent-to-tool authorization matrix</t>
  </si>
  <si>
    <t>Define managed identities and permitted tools per agent</t>
  </si>
  <si>
    <t>Human approval for write-capable actions</t>
  </si>
  <si>
    <t>Approval matrix, pause/resume and audit tests</t>
  </si>
  <si>
    <t>Demonstrate enforcement for every write path</t>
  </si>
  <si>
    <t>Failure, retry, timeout and idempotency design</t>
  </si>
  <si>
    <t>Error-handling and recovery design</t>
  </si>
  <si>
    <t>Complete failure-mode patterns and compensating actions</t>
  </si>
  <si>
    <t>Data</t>
  </si>
  <si>
    <t>RAG sources, ingestion and index lifecycle</t>
  </si>
  <si>
    <t>Data flow, ingestion schedule and index lifecycle</t>
  </si>
  <si>
    <t>Confirm refresh, deletion and re-indexing SLAs</t>
  </si>
  <si>
    <t>Systems of record and master-data ownership</t>
  </si>
  <si>
    <t>Authoritative-source and data-steward matrix</t>
  </si>
  <si>
    <t>Confirm golden source for each business object</t>
  </si>
  <si>
    <t>PHI/PII classification, residency and permitted use</t>
  </si>
  <si>
    <t>Data classification and privacy impact assessment</t>
  </si>
  <si>
    <t>Obtain Privacy, Legal and Security approval</t>
  </si>
  <si>
    <t>Retention, backup and recoverability</t>
  </si>
  <si>
    <t>Retention schedule and restore-test evidence</t>
  </si>
  <si>
    <t>Prove restore and retention enforcement</t>
  </si>
  <si>
    <t>Lineage and data-quality controls</t>
  </si>
  <si>
    <t>Lineage diagram, quality rules and exception process</t>
  </si>
  <si>
    <t>Document lineage and measurable data-quality controls</t>
  </si>
  <si>
    <t>Integration</t>
  </si>
  <si>
    <t>Direct API catalogue and contracts</t>
  </si>
  <si>
    <t>OpenAPI/contracts, auth pattern, limits and ownership</t>
  </si>
  <si>
    <t>Complete interface catalogue and service contracts</t>
  </si>
  <si>
    <t>Command queues, events, retries and dead letters</t>
  </si>
  <si>
    <t>Service Bus/Event Hubs topology and configuration</t>
  </si>
  <si>
    <t>Specify semantics, ordering, replay and DLQ operations</t>
  </si>
  <si>
    <t>RPA allow-list, bot identity and audit</t>
  </si>
  <si>
    <t>Destination allow-list, credential and execution logs</t>
  </si>
  <si>
    <t>Approve each RPA target and bot permission set</t>
  </si>
  <si>
    <t>External dependency service levels</t>
  </si>
  <si>
    <t>Vendor SLA, support model and outage procedures</t>
  </si>
  <si>
    <t>Document dependencies and contractual service levels</t>
  </si>
  <si>
    <t>Authentication, authorization and identity verification</t>
  </si>
  <si>
    <t>IAM flows, conditional-access and verification tests</t>
  </si>
  <si>
    <t>Attach control configuration and test evidence</t>
  </si>
  <si>
    <t>Network segmentation and controlled egress</t>
  </si>
  <si>
    <t>Network diagram, firewall and NAT rules</t>
  </si>
  <si>
    <t>Validate rules against approved destinations</t>
  </si>
  <si>
    <t>AI safety pipeline and execution guardrails</t>
  </si>
  <si>
    <t>Guardrail policies, test corpus and failure evidence</t>
  </si>
  <si>
    <t>Define thresholds and prove blocked scenarios</t>
  </si>
  <si>
    <t>Threat model, vulnerability and penetration testing</t>
  </si>
  <si>
    <t>Threat model and remediated test reports</t>
  </si>
  <si>
    <t>Complete security assurance before production gate</t>
  </si>
  <si>
    <t>Immutable audit and retention controls</t>
  </si>
  <si>
    <t>Audit schema, access controls and retention validation</t>
  </si>
  <si>
    <t>Prove completeness, immutability and retrieval</t>
  </si>
  <si>
    <t>Technology</t>
  </si>
  <si>
    <t>AKS topology, workload isolation and capacity</t>
  </si>
  <si>
    <t>Physical deployment and capacity diagrams</t>
  </si>
  <si>
    <t>Document node pools, zones, quotas and workload isolation</t>
  </si>
  <si>
    <t>Autoscaling and performance</t>
  </si>
  <si>
    <t>Load-test results and scaling thresholds</t>
  </si>
  <si>
    <t>Execute load tests against agreed NFRs</t>
  </si>
  <si>
    <t>High availability and disaster recovery</t>
  </si>
  <si>
    <t>RTO/RPO, failover design and recovery exercise</t>
  </si>
  <si>
    <t>Approve RTO/RPO and complete recovery test</t>
  </si>
  <si>
    <t>Monitoring, SLOs, alerting and runbooks</t>
  </si>
  <si>
    <t>Dashboards, SLO catalogue, alerts and support runbooks</t>
  </si>
  <si>
    <t>Define ownership, thresholds and incident response</t>
  </si>
  <si>
    <t>Model/prompt lifecycle, change control and approvals</t>
  </si>
  <si>
    <t>Model cards, prompt registry, evaluation and approval records</t>
  </si>
  <si>
    <t>Implement governed versioning and approval workflow</t>
  </si>
  <si>
    <t>Golden-set evaluation, red teaming and release gates</t>
  </si>
  <si>
    <t>Evaluation report, thresholds, drift and red-team results</t>
  </si>
  <si>
    <t>Set pass/fail thresholds and attach release evidence</t>
  </si>
  <si>
    <t>RECOMMENDED ARB DECISION GATES</t>
  </si>
  <si>
    <t>Gate</t>
  </si>
  <si>
    <t>ARB Focus</t>
  </si>
  <si>
    <t>Entry Evidence</t>
  </si>
  <si>
    <t>Current Position</t>
  </si>
  <si>
    <t>Exit Requirement</t>
  </si>
  <si>
    <t>Gate 1</t>
  </si>
  <si>
    <t>Business Architecture &amp; Solution Vision</t>
  </si>
  <si>
    <t>Scope, value stream, ownership and KPIs</t>
  </si>
  <si>
    <t>Business owners and measurable outcomes approved</t>
  </si>
  <si>
    <t>Gate 2</t>
  </si>
  <si>
    <t>Application &amp; Integration Architecture</t>
  </si>
  <si>
    <t>Logical design, interfaces, agent controls and ADRs</t>
  </si>
  <si>
    <t>Contracts, failure patterns and identities approved</t>
  </si>
  <si>
    <t>Gate 3</t>
  </si>
  <si>
    <t>Data &amp; AI Architecture</t>
  </si>
  <si>
    <t>Data flows, classification, RAG and model controls</t>
  </si>
  <si>
    <t>Privacy, lineage and model governance approved</t>
  </si>
  <si>
    <t>Gate 4</t>
  </si>
  <si>
    <t>Security &amp; Compliance</t>
  </si>
  <si>
    <t>Threat model, IAM, network and test evidence</t>
  </si>
  <si>
    <t>Security/Privacy findings closed or accepted</t>
  </si>
  <si>
    <t>Hold</t>
  </si>
  <si>
    <t>Gate 5</t>
  </si>
  <si>
    <t>Infrastructure &amp; Operations Readiness</t>
  </si>
  <si>
    <t>Deployment, NFRs, HA/DR, monitoring and runbooks</t>
  </si>
  <si>
    <t>Performance and recovery tests passed</t>
  </si>
  <si>
    <t>Gate 6</t>
  </si>
  <si>
    <t>Production Readiness</t>
  </si>
  <si>
    <t>End-to-end tests, support, rollback and approvals</t>
  </si>
  <si>
    <t>Operational acceptance and go-live approval</t>
  </si>
  <si>
    <t>Gate 7</t>
  </si>
  <si>
    <t>Post-Go-Live Compliance</t>
  </si>
  <si>
    <t>Telemetry, incidents, drift and benefits evidence</t>
  </si>
  <si>
    <t>Not started</t>
  </si>
  <si>
    <t>Compliance review and remediation plan</t>
  </si>
  <si>
    <t>Planned</t>
  </si>
  <si>
    <t>ARB DELIVERABLES REGISTER</t>
  </si>
  <si>
    <t>Required</t>
  </si>
  <si>
    <t>Current Evidence</t>
  </si>
  <si>
    <t>Completion Needed</t>
  </si>
  <si>
    <t>Decision Use</t>
  </si>
  <si>
    <t>Architecture Context Diagram</t>
  </si>
  <si>
    <t>Yes</t>
  </si>
  <si>
    <t>Component reference and Mermaid architecture flow</t>
  </si>
  <si>
    <t>Approved context and trust-boundary diagram</t>
  </si>
  <si>
    <t>Gates 1–2</t>
  </si>
  <si>
    <t>Business Capability Map</t>
  </si>
  <si>
    <t>Capability/value-stream content in Valuestream</t>
  </si>
  <si>
    <t>Business-owner validation</t>
  </si>
  <si>
    <t>Value Stream Map</t>
  </si>
  <si>
    <t>Valuestream and Mermaid Flows</t>
  </si>
  <si>
    <t>Available</t>
  </si>
  <si>
    <t>Formal approval</t>
  </si>
  <si>
    <t>Logical Application Architecture</t>
  </si>
  <si>
    <t>Component reference and agentic Mermaid flow</t>
  </si>
  <si>
    <t>Interfaces, identities and failure paths</t>
  </si>
  <si>
    <t>Physical Deployment Diagram</t>
  </si>
  <si>
    <t>AKS and network components described</t>
  </si>
  <si>
    <t>Subnet, zone, node-pool and endpoint layout</t>
  </si>
  <si>
    <t>Gates 4–5</t>
  </si>
  <si>
    <t>Data Architecture Diagram</t>
  </si>
  <si>
    <t>Stores and ingestion components described</t>
  </si>
  <si>
    <t>Flows, classification, lineage and retention</t>
  </si>
  <si>
    <t>Integration Catalog</t>
  </si>
  <si>
    <t>Known Integration Points and component reference</t>
  </si>
  <si>
    <t>Owners, contracts, auth and SLAs</t>
  </si>
  <si>
    <t>API Catalog / OpenAPI</t>
  </si>
  <si>
    <t>Systems named; contracts not evidenced</t>
  </si>
  <si>
    <t>Approved API specifications</t>
  </si>
  <si>
    <t>Security Architecture</t>
  </si>
  <si>
    <t>Security components and private-access pattern described</t>
  </si>
  <si>
    <t>Threat model, controls and test evidence</t>
  </si>
  <si>
    <t>NFR Assessment</t>
  </si>
  <si>
    <t>Scaling and testing practices described</t>
  </si>
  <si>
    <t>Targets and measured results</t>
  </si>
  <si>
    <t>HA/DR Architecture</t>
  </si>
  <si>
    <t>Backup and geo-redundancy noted</t>
  </si>
  <si>
    <t>RTO/RPO and tested recovery design</t>
  </si>
  <si>
    <t>GenAI_Status and GenAI_RACI</t>
  </si>
  <si>
    <t>Model/prompt lifecycle and thresholds</t>
  </si>
  <si>
    <t>Gates 3–6</t>
  </si>
  <si>
    <t>Technology Standards Compliance</t>
  </si>
  <si>
    <t>Technology stack identified</t>
  </si>
  <si>
    <t>Standards exceptions and approvals</t>
  </si>
  <si>
    <t>Risk Register</t>
  </si>
  <si>
    <t>No dedicated evidence identified</t>
  </si>
  <si>
    <t>Owned risks, mitigations and acceptance</t>
  </si>
  <si>
    <t>All gates</t>
  </si>
  <si>
    <t>Architecture Decision Records</t>
  </si>
  <si>
    <t>No ADR register identified</t>
  </si>
  <si>
    <t>Record key architecture decisions</t>
  </si>
  <si>
    <t>Gates 2–5</t>
  </si>
  <si>
    <t>Operations &amp; Support Runbook</t>
  </si>
  <si>
    <t>Monitoring stack described</t>
  </si>
  <si>
    <t>SLOs, alerts, escalation, rollback and recovery</t>
  </si>
  <si>
    <t>PRIORITY REMEDIATION ACTIONS</t>
  </si>
  <si>
    <t>Gap</t>
  </si>
  <si>
    <t>Why It Matters</t>
  </si>
  <si>
    <t>Required Outcome</t>
  </si>
  <si>
    <t>Suggested Owner</t>
  </si>
  <si>
    <t>Gate Impact</t>
  </si>
  <si>
    <t>Business ownership and measurable KPIs</t>
  </si>
  <si>
    <t>ARB cannot approve value or accountability without named owners and targets</t>
  </si>
  <si>
    <t>Approved ownership and KPI catalogue</t>
  </si>
  <si>
    <t>Business Process Owner</t>
  </si>
  <si>
    <t>NFR targets and performance evidence</t>
  </si>
  <si>
    <t>Scalability claims require measurable latency, volume and availability proof</t>
  </si>
  <si>
    <t>Approved NFRs and load-test report</t>
  </si>
  <si>
    <t>Solution / Platform Architect</t>
  </si>
  <si>
    <t>HA/DR with RTO and RPO</t>
  </si>
  <si>
    <t>Backup statements do not demonstrate service recovery</t>
  </si>
  <si>
    <t>Tested recovery plan and results</t>
  </si>
  <si>
    <t>Cloud Operations</t>
  </si>
  <si>
    <t>Security and privacy assurance</t>
  </si>
  <si>
    <t>PHI-adjacent workflows require formal threat, privacy and penetration evidence</t>
  </si>
  <si>
    <t>Closed findings and control sign-offs</t>
  </si>
  <si>
    <t>Security and Privacy</t>
  </si>
  <si>
    <t>Data governance and lineage</t>
  </si>
  <si>
    <t>RAG and transactional decisions need authoritative, traceable and classified data</t>
  </si>
  <si>
    <t>Data ownership, classification and lineage</t>
  </si>
  <si>
    <t>Data Architect / Steward</t>
  </si>
  <si>
    <t>Operational SLOs and runbooks</t>
  </si>
  <si>
    <t>Monitoring tools alone do not establish an operating model</t>
  </si>
  <si>
    <t>Approved dashboards, SLOs, alerts and runbooks</t>
  </si>
  <si>
    <t>Service Operations</t>
  </si>
  <si>
    <t>AI evaluation and release thresholds</t>
  </si>
  <si>
    <t>Golden-set and red-team practices need objective pass/fail criteria</t>
  </si>
  <si>
    <t>Approved evaluation thresholds and release evidence</t>
  </si>
  <si>
    <t>Source basis: Component List (1).pdf (Mentor Azure Architecture: Component Reference, 22 Jul 2026), workbook value streams, GenAI governance sheets, Known Integration Points, and current planning artifacts. “Defined” means the architecture pattern is documented; it does not mean implementation evidence or formal approval exists.</t>
  </si>
  <si>
    <t>From your architecture document, the architecture is actually organized into 7 primary business/solution layers (excluding supporting governance views). [Overall Ar...ure - Copy | Word]</t>
  </si>
  <si>
    <t>Architecture Layer</t>
  </si>
  <si>
    <t>User Channels &amp; Access Layer</t>
  </si>
  <si>
    <t>Customer and agent interaction channels such as Browser, Chat Widget, Email, Phone, CSR Workstation. [Overall Ar...ure - Copy | Word]</t>
  </si>
  <si>
    <t>Edge &amp; Security Layer</t>
  </si>
  <si>
    <t>Front Door, WAF, API Management, Entra ID, Azure AD B2C, Identity and Access Management. [Overall Ar...ure - Copy | Word]</t>
  </si>
  <si>
    <t>AI Agent Orchestration Layer</t>
  </si>
  <si>
    <t>Orchestrator Agent, Skill Registry, workflow coordination, routing and agent management. [Overall Ar...ure - Copy | Word]</t>
  </si>
  <si>
    <t>Deep Agent &amp; LLM Layer</t>
  </si>
  <si>
    <t>Azure AI Foundry, Azure OpenAI, Azure Voice Live API, NeMo Guardrails, Deep Agents. [Overall Ar...ure - Copy | Word]</t>
  </si>
  <si>
    <t>Data &amp; Knowledge Layer</t>
  </si>
  <si>
    <t>Qdrant, PostgreSQL, Redis, Blob Storage, SharePoint, Key Vault. [Overall Ar...ure - Copy | Word]</t>
  </si>
  <si>
    <t>Automation &amp; Enterprise Integration Layer</t>
  </si>
  <si>
    <t>Azure Functions, Service Bus, Ingestion Components, RPA Workers, Salesforce, JD Edwards, ServiceNow and other enterprise systems. [Overall Ar...ure - Copy | Word]</t>
  </si>
  <si>
    <t>DevOps, Observability &amp; Governance Layer</t>
  </si>
  <si>
    <r>
      <t xml:space="preserve">Bitbucket, Jenkins, Terraform, ACR, Application Insights, Log Analytics, Azure Monitor, LangSmith, Sentinel. </t>
    </r>
    <r>
      <rPr>
        <sz val="11"/>
        <color rgb="FF464FEB"/>
        <rFont val="Segoe UI"/>
        <family val="2"/>
      </rPr>
      <t>[Overall Ar...ure - Copy | Word]</t>
    </r>
    <r>
      <rPr>
        <sz val="11"/>
        <color theme="1"/>
        <rFont val="Segoe UI"/>
        <family val="2"/>
      </rPr>
      <t xml:space="preserve">, </t>
    </r>
    <r>
      <rPr>
        <sz val="11"/>
        <color rgb="FF464FEB"/>
        <rFont val="Segoe UI"/>
        <family val="2"/>
      </rPr>
      <t>[Overall Ar...ure - Copy | Word]</t>
    </r>
  </si>
  <si>
    <t>Recommended Executive Architecture Stack</t>
  </si>
  <si>
    <t>┌─────────────────────────────────────────────┐</t>
  </si>
  <si>
    <t>│ 7. DevOps, Observability &amp; Governance │</t>
  </si>
  <si>
    <t>├─────────────────────────────────────────────┤</t>
  </si>
  <si>
    <t>│ 6. Automation &amp; Enterprise Integration │</t>
  </si>
  <si>
    <t>│ 5. Data &amp; Knowledge │</t>
  </si>
  <si>
    <t>│ 4. Deep Agent &amp; LLM │</t>
  </si>
  <si>
    <t>│ 3. AI Agent Orchestration │</t>
  </si>
  <si>
    <t>│ 2. Edge &amp; Security │</t>
  </si>
  <si>
    <t>│ 1. User Channels &amp; Access │</t>
  </si>
  <si>
    <t>└─────────────────────────────────────────────┘</t>
  </si>
  <si>
    <t>``</t>
  </si>
  <si>
    <t>Mapping Your Components</t>
  </si>
  <si>
    <t>Layer</t>
  </si>
  <si>
    <t>Key Components</t>
  </si>
  <si>
    <t>User Channels</t>
  </si>
  <si>
    <t>Browser, Chat Widget, Phone, Email, CSR Workstation</t>
  </si>
  <si>
    <t>Static Web App</t>
  </si>
  <si>
    <t>Edge &amp; Security</t>
  </si>
  <si>
    <t>Entra ID, B2C, WAF, Key Vault, Firewall, ExpressRoute</t>
  </si>
  <si>
    <t xml:space="preserve">DDoS Protection Standard, ExpressRoute Gateway, Private DNS Resolver, Private Endpoint, Identity Verification </t>
  </si>
  <si>
    <t>Agent Orchestration</t>
  </si>
  <si>
    <t>Orchestrator Agent, Skill Registry, Durable Functions</t>
  </si>
  <si>
    <t>HITL Approval Gate, Tier 2 Shallow Agents</t>
  </si>
  <si>
    <t>Deep Agent &amp; LLM</t>
  </si>
  <si>
    <t>Azure AI Foundry, GPT Models, NeMo Guardrails, Specialized Agents</t>
  </si>
  <si>
    <t>Body Aesthetics Agent, Admin Support Agent, Refunds Agent, NVIDIA Riva NIM</t>
  </si>
  <si>
    <t>Data &amp; Knowledge</t>
  </si>
  <si>
    <t>PostgreSQL, Qdrant, Redis, Blob Storage, SharePoint, AI Search</t>
  </si>
  <si>
    <t xml:space="preserve">App Configuration (Feature Flags), NV-Ingest </t>
  </si>
  <si>
    <t>Automation &amp; Integration</t>
  </si>
  <si>
    <t>Azure Functions, Service Bus, Playwright RPA, Salesforce, JDE, ServiceNow</t>
  </si>
  <si>
    <t>Microsoft Graph, Event Grid</t>
  </si>
  <si>
    <t>DevOps &amp; Governance</t>
  </si>
  <si>
    <t>AKS, ACR, Bitbucket, Jenkins, Terraform, Azure Monitor, Sentinel, LangSmith</t>
  </si>
  <si>
    <t>Azure Monitor Managed Prometheus, Azure Managed Grafana</t>
  </si>
  <si>
    <r>
      <t xml:space="preserve">This is the </t>
    </r>
    <r>
      <rPr>
        <b/>
        <sz val="7"/>
        <color theme="1"/>
        <rFont val="Segoe UI"/>
        <family val="2"/>
      </rPr>
      <t>7-layer architecture view I would recommend for TOGAF Solution Architecture, Architecture Review Board (ARB), HLD, and CXO presentations</t>
    </r>
    <r>
      <rPr>
        <sz val="7"/>
        <color theme="1"/>
        <rFont val="Segoe UI"/>
        <family val="2"/>
      </rPr>
      <t xml:space="preserve">, as it cleanly separates </t>
    </r>
    <r>
      <rPr>
        <b/>
        <sz val="7"/>
        <color theme="1"/>
        <rFont val="Segoe UI"/>
        <family val="2"/>
      </rPr>
      <t>Channels → Security → Orchestration → AI → Data → Integration → Operations</t>
    </r>
    <r>
      <rPr>
        <sz val="7"/>
        <color theme="1"/>
        <rFont val="Segoe UI"/>
        <family val="2"/>
      </rPr>
      <t xml:space="preserve">. </t>
    </r>
    <r>
      <rPr>
        <sz val="7"/>
        <color rgb="FF464FEB"/>
        <rFont val="Segoe UI"/>
        <family val="2"/>
      </rPr>
      <t>[Overall Ar...ure - Copy | Word]</t>
    </r>
    <r>
      <rPr>
        <sz val="7"/>
        <color theme="1"/>
        <rFont val="Segoe UI"/>
        <family val="2"/>
      </rPr>
      <t xml:space="preserve">, </t>
    </r>
    <r>
      <rPr>
        <sz val="7"/>
        <color rgb="FF464FEB"/>
        <rFont val="Segoe UI"/>
        <family val="2"/>
      </rPr>
      <t>[Overall Ar...ure - Copy | Word]</t>
    </r>
  </si>
  <si>
    <t>Enterprise Architecture value stream reconciled to Component List (1).pdf (Mentor Azure Architecture: Component Reference, 22 Jul 2026). Components are mapped to the stage where they enable value; direct API, event-driven, private-network, and RPA integration patterns are explicitly distinguished.</t>
  </si>
  <si>
    <t>Primary Business Value Stream</t>
  </si>
  <si>
    <t>Customer Engagement → Resolution → Fulfillment</t>
  </si>
  <si>
    <t>Value Stream Stage</t>
  </si>
  <si>
    <t>Business Outcome</t>
  </si>
  <si>
    <t>Supporting Components</t>
  </si>
  <si>
    <t>1. Customer Interaction</t>
  </si>
  <si>
    <t>Customer initiates engagement</t>
  </si>
  <si>
    <t>Public web: Front Door + WAF (DDoS Protection Standard), Static Web App, API Management. Email: Microsoft Graph + Azure Functions email watcher. Voice: Genesys Cloud + Azure AI Voice Live API. CSR: Agent Assist UI over J&amp;J Corporate Network and ExpressRoute.</t>
  </si>
  <si>
    <t>2. Access &amp; Security Validation</t>
  </si>
  <si>
    <t>Secure and authorized access</t>
  </si>
  <si>
    <t>Entra ID, application-level Identity Verification, API Management policies, Front Door + WAF, ExpressRoute Gateway, Private DNS Resolver, Private Endpoint, Key Vault, and NeMo Guardrails input screening.</t>
  </si>
  <si>
    <t>3. Request Understanding</t>
  </si>
  <si>
    <t>Customer intent identified</t>
  </si>
  <si>
    <t>Orchestrator Agent (LangGraph), Azure AI Foundry with provisioned throughput, Nemotron model deployments, Azure AI Voice Live API, and NeMo Guardrails for input/dialog controls.</t>
  </si>
  <si>
    <t>4. Agent Routing</t>
  </si>
  <si>
    <t>Route request to appropriate domain agent</t>
  </si>
  <si>
    <t>Orchestrator Agent, versioned Skill Registry, Tier 2 Shallow Agents, and Tier 1 Deep Agents running on Azure Kubernetes Service (AKS).</t>
  </si>
  <si>
    <t>5. Knowledge Retrieval</t>
  </si>
  <si>
    <t>Gather relevant information</t>
  </si>
  <si>
    <t>Azure AI Search (vector, hybrid, semantic ranking), SharePoint, Blob Storage, Azure AI Foundry embeddings, Ingestion Functions / Azure Data Factory, NV-Ingest, Event Grid, and Service Bus.</t>
  </si>
  <si>
    <t>6. Business Transaction Execution</t>
  </si>
  <si>
    <t>Execute business process</t>
  </si>
  <si>
    <t>Tier 2: Body Aesthetics, Admin Support, and Refunds Agents. Tier 1: Customer Support, New Accounts, Device Tracking, and Field Inventory Agents. Write actions pass NeMo Guardrails execution checks and the Human-in-the-Loop Approval Gate.</t>
  </si>
  <si>
    <t>7. Enterprise System Processing</t>
  </si>
  <si>
    <t>Update systems of record</t>
  </si>
  <si>
    <t>Direct APIs: JD Edwards, Salesforce, Paymetric, Microsoft Graph, SharePoint, and IRIS / ServiceNow. Transaction, case, customer, and workflow state is persisted in PostgreSQL; short-lived session and verification state uses Redis.</t>
  </si>
  <si>
    <t>8. Automation Execution</t>
  </si>
  <si>
    <t>Execute non-API workflows</t>
  </si>
  <si>
    <t>Playwright RPA Workers on AKS, Service Bus Premium work queues, Azure Firewall + NAT Gateway, and allow-listed access to DSI / TranCollector, Mentor Direct Portal, Dun &amp; Bradstreet, Health Guide USA, and Adobe + Entrust.</t>
  </si>
  <si>
    <t>9. Fulfillment &amp; Response</t>
  </si>
  <si>
    <t>Return resolution to customer</t>
  </si>
  <si>
    <t>The Orchestrator returns the governed response through the originating channel: Static Web App / chat via API Management, Microsoft Graph email draft, Genesys voice or CSR side panel, or the private Agent Assist UI.</t>
  </si>
  <si>
    <t>10. Monitoring &amp; Continuous Improvement</t>
  </si>
  <si>
    <t>Capture telemetry and optimize service</t>
  </si>
  <si>
    <t>Event Hubs, Application Insights, Log Analytics, Azure Monitor, Managed Prometheus, Azure Managed Grafana, LangSmith, PostgreSQL append-only audit trail, and Blob Storage archive; quality gates include golden-set evaluation and red-teaming.</t>
  </si>
  <si>
    <t>Agentic AI Value Stream</t>
  </si>
  <si>
    <t>Customer Request</t>
  </si>
  <si>
    <t>│</t>
  </si>
  <si>
    <t>▼</t>
  </si>
  <si>
    <t>Identity &amp; Security Validation</t>
  </si>
  <si>
    <t>Intent Recognition</t>
  </si>
  <si>
    <t>Skill Discovery</t>
  </si>
  <si>
    <t>Specialized AI Agent Selection</t>
  </si>
  <si>
    <t>Knowledge Retrieval (RAG)</t>
  </si>
  <si>
    <t>Enterprise Action Execution</t>
  </si>
  <si>
    <t>Response Generation</t>
  </si>
  <si>
    <t>Customer Resolution</t>
  </si>
  <si>
    <t>Observability &amp; Learning</t>
  </si>
  <si>
    <t>Derived from the Orchestrator Agent, Skill Registry, Tier 2 Shallow Agents, Tier 1 Deep Agents, Azure AI Foundry, Azure AI Search, governed enterprise integrations, and the observability/audit platform. Source: Component List (1).pdf, pp. 3–8.</t>
  </si>
  <si>
    <t>TOGAF Business Capability Value Stream</t>
  </si>
  <si>
    <t>For your architecture repository, I would model the value stream as:</t>
  </si>
  <si>
    <t>Stage</t>
  </si>
  <si>
    <t>Engage</t>
  </si>
  <si>
    <t>Omnichannel Customer Interaction</t>
  </si>
  <si>
    <t>Authenticate</t>
  </si>
  <si>
    <t>Identity &amp; Access Management</t>
  </si>
  <si>
    <t>Understand</t>
  </si>
  <si>
    <t>AI Intent Recognition</t>
  </si>
  <si>
    <t>Orchestrate</t>
  </si>
  <si>
    <t>Agent Workflow Management</t>
  </si>
  <si>
    <t>Retrieve</t>
  </si>
  <si>
    <t>Knowledge &amp; RAG Services</t>
  </si>
  <si>
    <t>Execute</t>
  </si>
  <si>
    <t>Business Process Automation</t>
  </si>
  <si>
    <t>Integrate</t>
  </si>
  <si>
    <t>Enterprise System Integration</t>
  </si>
  <si>
    <t>Fulfill</t>
  </si>
  <si>
    <t>Customer Service Delivery</t>
  </si>
  <si>
    <t>Monitor</t>
  </si>
  <si>
    <t>Observability &amp; Governance</t>
  </si>
  <si>
    <t>Continuous Learning &amp; Optimization</t>
  </si>
  <si>
    <t>Capability stages are aligned to the solution's channel, identity, agent, knowledge, integration, fulfillment, and operational-control layers. Source: Component List (1).pdf, pp. 1–8.</t>
  </si>
  <si>
    <t>Enterprise Architecture Value Stream Map</t>
  </si>
  <si>
    <t>CHANNELS</t>
  </si>
  <si>
    <t>(Front Door / Static Web App | Microsoft Graph Email | Genesys Voice | Private CSR Agent Assist)</t>
  </si>
  <si>
    <t>SECURITY &amp; IDENTITY</t>
  </si>
  <si>
    <t>(Entra ID | Identity Verification | APIM | WAF | ExpressRoute / Private Endpoint | Key Vault)</t>
  </si>
  <si>
    <t>AGENT ORCHESTRATION</t>
  </si>
  <si>
    <t>(LangGraph Orchestrator | Skill Registry | Tier 2 Shallow Agents | Tier 1 Deep Agents | HITL Gate)</t>
  </si>
  <si>
    <t>AI REASONING</t>
  </si>
  <si>
    <t>(Azure AI Foundry | Nemotron Model Deployments | NeMo Guardrails | Azure AI Voice Live API)</t>
  </si>
  <si>
    <t>KNOWLEDGE &amp; DATA</t>
  </si>
  <si>
    <t>(Azure AI Search | SharePoint | Blob Storage | PostgreSQL | Redis | NV-Ingest)</t>
  </si>
  <si>
    <t>PROCESS AUTOMATION</t>
  </si>
  <si>
    <t>(Playwright RPA | Functions / ADF | Service Bus | Event Grid | Event Hubs | Firewall + NAT)</t>
  </si>
  <si>
    <t>SYSTEMS OF RECORD</t>
  </si>
  <si>
    <t>(Direct API: JDE, Salesforce, Paymetric, Graph, SharePoint, IRIS / ServiceNow | RPA: legacy and third-party portals)</t>
  </si>
  <si>
    <t>CUSTOMER OUTCOME</t>
  </si>
  <si>
    <t>(Resolution / Refund / New Account /</t>
  </si>
  <si>
    <t>Inventory / Support)</t>
  </si>
  <si>
    <t>OBSERVABILITY</t>
  </si>
  <si>
    <t>(Application Insights | Log Analytics | Azure Monitor | Managed Prometheus / Grafana | LangSmith | Audit Archive)</t>
  </si>
  <si>
    <r>
      <t xml:space="preserve">For a TOGAF ADM, ARB, or HUMAIN-style architecture deliverable, this would typically be represented as a </t>
    </r>
    <r>
      <rPr>
        <b/>
        <sz val="10"/>
        <color theme="1"/>
        <rFont val="Tenorite"/>
      </rPr>
      <t>10-step Customer Service Value Stream</t>
    </r>
    <r>
      <rPr>
        <sz val="10"/>
        <color theme="1"/>
        <rFont val="Tenorite"/>
      </rPr>
      <t>:</t>
    </r>
  </si>
  <si>
    <t>Engage → Authenticate → Understand → Orchestrate → Retrieve → Reason → Execute → Integrate → Fulfill → Monitor / Improve. Source: Component List (1).pdf, pp. 1–8.</t>
  </si>
  <si>
    <t>CONSULTING FLOWS — PERSONA JOURNEY OVERLAY</t>
  </si>
  <si>
    <t>Persona</t>
  </si>
  <si>
    <t>Journey overlay</t>
  </si>
  <si>
    <t>Value outcome</t>
  </si>
  <si>
    <t>Product discovery → selection → procedure readiness → clinical support → usage/warranty</t>
  </si>
  <si>
    <t>Confident selection, ready cases, traceable post-procedure support</t>
  </si>
  <si>
    <t>Account → order → pricing/PO → inventory → delivery → billing/returns</t>
  </si>
  <si>
    <t>Lower administrative effort and complete operational visibility</t>
  </si>
  <si>
    <t>Relationship → recommendation → commercial support → opportunity → forecast/retention</t>
  </si>
  <si>
    <t>Insight-led growth with accountable customer ownership</t>
  </si>
  <si>
    <t>Onboarding → order/validation → status/inquiry → return/complaint/warranty → escalation</t>
  </si>
  <si>
    <t>Faster first-pass service and controlled exception resolution</t>
  </si>
  <si>
    <t>Education → surgeon information → warranty registration → concern → status</t>
  </si>
  <si>
    <t>Safe, transparent, consented support experience</t>
  </si>
  <si>
    <t>MERMAID FLOW DEFINITIONS</t>
  </si>
  <si>
    <t>Three copy-ready diagrams derived from the reviewed enterprise value stream and Component List (1).pdf.</t>
  </si>
  <si>
    <t>1  PRIMARY BUSINESS VALUE STREAM</t>
  </si>
  <si>
    <t>flowchart TB
    E["1. Engage&lt;br/&gt;Web, Email, Voice, CSR Agent Assist"]
    A["2. Authenticate &amp; Secure&lt;br/&gt;Entra ID, Identity Verification, APIM, WAF, Private Access"]
    U["3. Understand&lt;br/&gt;Orchestrator, AI Foundry, Voice Live, Guardrails"]
    O["4. Orchestrate&lt;br/&gt;LangGraph Orchestrator and Skill Registry"]
    R["5. Retrieve Knowledge&lt;br/&gt;Azure AI Search, SharePoint, Blob, NV-Ingest"]
    X["6. Execute Business Process&lt;br/&gt;Shallow and Deep Agents with HITL Approval"]
    I["7. Integrate Systems&lt;br/&gt;JDE, Salesforce, Paymetric, Graph, SharePoint, ServiceNow"]
    P["8. Automate Legacy Work&lt;br/&gt;Playwright RPA, Service Bus, Firewall and NAT"]
    F["9. Fulfill &amp; Respond&lt;br/&gt;Return through the originating customer or CSR channel"]
    M["10. Monitor &amp; Improve&lt;br/&gt;Event Hubs, Azure Monitor, LangSmith, Audit Archive"]
    E --&gt; A --&gt; U --&gt; O --&gt; R --&gt; X --&gt; I --&gt; P --&gt; F --&gt; M
    classDef stage fill:#EAF2F8,stroke:#2F75B5,color:#17365D,stroke-width:2px;
    class E,A,U,O,R,X,I,P,F,M stage;</t>
  </si>
  <si>
    <t>Copy the complete source from the adjacent cell and paste it into any Mermaid-compatible renderer.</t>
  </si>
  <si>
    <t>2  AGENTIC AI VALUE STREAM</t>
  </si>
  <si>
    <t>flowchart TB
    CR["Customer or CSR Request"] --&gt; SEC["Identity, Access and Security Validation"]
    SEC --&gt; INT["Intent Recognition and Context Assembly"]
    INT --&gt; ORCH["LangGraph Orchestrator"]
    ORCH --&gt; REG["Skill Registry Discovery"]
    REG --&gt; ROUTE{"Select execution path"}
    ROUTE --&gt;|Knowledge lookup| RAG["RAG Retrieval&lt;br/&gt;Azure AI Search, SharePoint, Blob Storage"]
    ROUTE --&gt;|Moderate complexity| T2["Tier 2 Shallow Agent"]
    ROUTE --&gt;|Ambiguous multi-step work| T1["Tier 1 Deep Agent"]
    RAG --&gt; REASON["AI Foundry Reasoning and Response Grounding"]
    T2 --&gt; EXEC["Deterministic Workflow Execution"]
    T1 --&gt; CHECK["NeMo Guardrails Execution Checks"]
    CHECK --&gt; WRITE{"Write action requires approval?"}
    WRITE --&gt;|Yes| HITL["Human-in-the-Loop Approval Gate"]
    WRITE --&gt;|No| ACTION["Enterprise Action"]
    HITL --&gt; ACTION
    EXEC --&gt; ACTION
    ACTION --&gt; API["Direct APIs&lt;br/&gt;JDE, Salesforce, Paymetric, Graph, SharePoint, ServiceNow"]
    ACTION --&gt; RPA["RPA Workers&lt;br/&gt;Legacy and third-party portals"]
    API --&gt; RESP["Orchestrator Generates Final Response"]
    RPA --&gt; RESP
    REASON --&gt; RESP
    RESP --&gt; OUT["Originating Channel&lt;br/&gt;Web, Email, Voice or CSR Assist"]
    OUT --&gt; RES["Customer Resolution"]
    RES --&gt; OBS["Observability, Audit and Continuous Learning"]
    OBS -. quality feedback .-&gt; ORCH
    classDef core fill:#EAF2F8,stroke:#2F75B5,color:#17365D;
    classDef control fill:#FFF2CC,stroke:#BF9000,color:#7F6000;
    classDef outcome fill:#E2F0D9,stroke:#548235,color:#385723;
    class ORCH,REG,RAG,T2,T1,REASON,EXEC,ACTION,API,RPA,RESP core;
    class SEC,CHECK,WRITE,HITL control;
    class OUT,RES,OBS outcome;</t>
  </si>
  <si>
    <t>3  ENTERPRISE ARCHITECTURE VALUE STREAM</t>
  </si>
  <si>
    <t>flowchart TB
    subgraph L1["1. Omnichannel Engagement"]
      WEB["Front Door, WAF, Static Web App, APIM"]
      EMAIL["Microsoft Graph and Email Watcher"]
      VOICE["Genesys Cloud and Azure AI Voice Live API"]
      CSR["Private CSR Agent Assist over ExpressRoute"]
    end
    subgraph L2["2. Security and Identity"]
      ID["Entra ID and Identity Verification"]
      NET["ExpressRoute Gateway, Private DNS and Private Endpoint"]
      SECOPS["Key Vault and NeMo Guardrails"]
    end
    subgraph L3["3. Agent Orchestration and AI Reasoning"]
      ORCH["LangGraph Orchestrator and Skill Registry"]
      AGENTS["Tier 2 Shallow Agents and Tier 1 Deep Agents"]
      MODEL["Azure AI Foundry and Nemotron Deployments"]
      HITL["Human-in-the-Loop Approval Gate"]
    end
    subgraph L4["4. Knowledge, Data and Messaging"]
      SEARCH["Azure AI Search, SharePoint and Blob Storage"]
      STATE["PostgreSQL, Redis and App Configuration"]
      INGEST["Functions or ADF, NV-Ingest and Event Grid"]
      MSG["Service Bus and Event Hubs"]
    end
    subgraph L5["5. Enterprise Execution"]
      API["Direct APIs: JDE, Salesforce, Paymetric, Graph, SharePoint, ServiceNow"]
      RPA["Playwright RPA via Firewall and NAT to legacy or third-party systems"]
    end
    subgraph L6["6. Fulfillment and Customer Outcome"]
      OUT["Resolution, Refund, New Account, Device Tracking, Inventory or Support"]
      RETURN["Governed response through the originating channel"]
    end
    subgraph L7["7. Operations, Governance and Delivery"]
      OBS["Application Insights, Log Analytics and Azure Monitor"]
      K8S["Managed Prometheus and Azure Managed Grafana"]
      AIQA["LangSmith, Golden-set Evaluation and Red Teaming"]
      CICD["Bitbucket, Jenkins, Terraform and Container Registry"]
    end
    WEB --&gt; ID
    EMAIL --&gt; ID
    VOICE --&gt; ID
    CSR --&gt; NET
    ID --&gt; ORCH
    NET --&gt; ORCH
    SECOPS --&gt; ORCH
    ORCH --&gt; AGENTS --&gt; MODEL
    AGENTS --&gt; HITL
    ORCH &lt;--&gt; SEARCH
    AGENTS &lt;--&gt; STATE
    INGEST --&gt; SEARCH
    MSG &lt;--&gt; AGENTS
    AGENTS --&gt; API
    HITL --&gt; API
    AGENTS --&gt; RPA
    API --&gt; OUT
    RPA --&gt; OUT
    OUT --&gt; RETURN
    ORCH -. telemetry .-&gt; OBS
    AGENTS -. traces .-&gt; AIQA
    MSG -. events .-&gt; OBS
    CICD -. deploys .-&gt; ORCH
    OBS --&gt; K8S
    classDef layer fill:#EAF2F8,stroke:#2F75B5,color:#17365D;
    classDef control fill:#FFF2CC,stroke:#BF9000,color:#7F6000;
    classDef outcome fill:#E2F0D9,stroke:#548235,color:#385723;
    class WEB,EMAIL,VOICE,CSR,ORCH,AGENTS,MODEL,SEARCH,STATE,INGEST,MSG,API,RPA,OBS,K8S,AIQA,CICD layer;
    class ID,NET,SECOPS,HITL control;
    class OUT,RETURN outcome;</t>
  </si>
  <si>
    <t>Consulting Flows Persona Journey</t>
  </si>
  <si>
    <t>Additive cross-persona journey; existing diagrams retain their original scope.</t>
  </si>
  <si>
    <t>Persona journey flow</t>
  </si>
  <si>
    <t>flowchart LR
S[Surgeon] --&gt; P[Product &amp; Procedure]
O[Office Manager] --&gt; A[Account, Order &amp; Inventory]
R[Sales Rep] --&gt; G[Relationship &amp; Growth]
C[CSR] --&gt; V[Service &amp; Resolution]
T[Patient] --&gt; E[Education, Warranty &amp; Support]
P --&gt; U[Unified Customer Context]
A --&gt; U
G --&gt; U
V --&gt; U
E --&gt; U</t>
  </si>
  <si>
    <t>Process-Level RACI</t>
  </si>
  <si>
    <t>Agent</t>
  </si>
  <si>
    <t>Contact Center Manager</t>
  </si>
  <si>
    <t>I</t>
  </si>
  <si>
    <t>Order Release</t>
  </si>
  <si>
    <t>Warranty Processing</t>
  </si>
  <si>
    <t>Consignment Management</t>
  </si>
  <si>
    <t>Returns Processing</t>
  </si>
  <si>
    <t>Compliance Training</t>
  </si>
  <si>
    <t>QA Monitoring</t>
  </si>
  <si>
    <t>R/A</t>
  </si>
  <si>
    <t>SLA Reporting</t>
  </si>
  <si>
    <t>RCA/CAPA</t>
  </si>
  <si>
    <t>Legend</t>
  </si>
  <si>
    <t>Code</t>
  </si>
  <si>
    <t>Meaning</t>
  </si>
  <si>
    <t>Responsible</t>
  </si>
  <si>
    <t>Accountable</t>
  </si>
  <si>
    <t>Consulted</t>
  </si>
  <si>
    <t>Informed</t>
  </si>
  <si>
    <t>Consulting Flows adds persona participation to the existing internal-role RACI; it does not replace current accountability assignments.</t>
  </si>
  <si>
    <t>SLA / KPI Business Requirements Analysis</t>
  </si>
  <si>
    <t>Business Requirement</t>
  </si>
  <si>
    <t>Objective</t>
  </si>
  <si>
    <t>Key Measure</t>
  </si>
  <si>
    <t>KPI / SLA</t>
  </si>
  <si>
    <t>Formula</t>
  </si>
  <si>
    <t>Variable Attributes</t>
  </si>
  <si>
    <t>Influencing Processes</t>
  </si>
  <si>
    <t>Orders must be researched, corrected and released rapidly to warehouse processing.</t>
  </si>
  <si>
    <t>Ensure timely order fulfillment and customer service.</t>
  </si>
  <si>
    <t>% Orders released within target time</t>
  </si>
  <si>
    <t>(Orders released within SLA ÷ Total eligible orders) ×100</t>
  </si>
  <si>
    <t>Order receipt time, correction completion time, release timestamp, queue volume</t>
  </si>
  <si>
    <t>Order Entry, Order Validation, Customer Service, Master Data Management, Fulfillment</t>
  </si>
  <si>
    <t xml:space="preserve">Capture complaints within 48 hours of awareness. </t>
  </si>
  <si>
    <t>Regulatory compliance and patient safety.</t>
  </si>
  <si>
    <t>% Complaints entered within 48 hrs</t>
  </si>
  <si>
    <t>(Complaints entered ≤48 hrs ÷ Total complaints) ×100</t>
  </si>
  <si>
    <t>Awareness date, intake date, complaint volume, staffing levels</t>
  </si>
  <si>
    <t>Complaint Intake, Pharmacovigilance Support, Quality Operations</t>
  </si>
  <si>
    <t xml:space="preserve">Complete warranty handling within 30 days of explant receipt. </t>
  </si>
  <si>
    <t>Improve customer experience and warranty closure.</t>
  </si>
  <si>
    <t>% Claims completed within 30 days</t>
  </si>
  <si>
    <t>(Claims closed ≤30 days ÷ Total claims) ×100</t>
  </si>
  <si>
    <t>Explant receipt date, closure date, investigation cycle time</t>
  </si>
  <si>
    <t>Warranty Processing, Quality Review, Logistics</t>
  </si>
  <si>
    <t xml:space="preserve">Complete planned audits per schedule. </t>
  </si>
  <si>
    <t>Inventory control and compliance.</t>
  </si>
  <si>
    <t>Audit completion rate</t>
  </si>
  <si>
    <t>(Audits completed on schedule ÷ Planned audits) ×100</t>
  </si>
  <si>
    <t>Audit due date, completion date, audit backlog</t>
  </si>
  <si>
    <t>Inventory Management, Field Operations, Compliance Audits</t>
  </si>
  <si>
    <t xml:space="preserve">Transactions processed without errors requiring correction. </t>
  </si>
  <si>
    <t>Reduce rework and improve quality.</t>
  </si>
  <si>
    <t>% Error-free cases</t>
  </si>
  <si>
    <t>Case Accuracy Rate</t>
  </si>
  <si>
    <t>((Total cases − Error cases) ÷ Total cases) ×100</t>
  </si>
  <si>
    <t>Number of transactions, QA defects, rework cases</t>
  </si>
  <si>
    <t>Order Management, Complaint Management, Device Tracking</t>
  </si>
  <si>
    <t xml:space="preserve">Keep call abandonment low. </t>
  </si>
  <si>
    <t>Improve accessibility and responsiveness.</t>
  </si>
  <si>
    <t>% Calls abandoned after threshold wait</t>
  </si>
  <si>
    <t>(Abandoned calls &gt;60 sec ÷ Total inbound calls) ×100</t>
  </si>
  <si>
    <t>Incoming call volume, ASA, staffing, queue size</t>
  </si>
  <si>
    <t>Contact Center Operations, Workforce Management</t>
  </si>
  <si>
    <t xml:space="preserve">Efficient handling of customer interactions. </t>
  </si>
  <si>
    <t>Balance productivity and quality.</t>
  </si>
  <si>
    <t>Average call handling duration</t>
  </si>
  <si>
    <t>(Talk Time + Hold Time + After Call Work) ÷ Number of calls</t>
  </si>
  <si>
    <t>Talk time, hold time, ACW time, call complexity</t>
  </si>
  <si>
    <t>Contact Center, Knowledge Management, Agent Training</t>
  </si>
  <si>
    <t xml:space="preserve">Orders must be timely, accurate and compliant. </t>
  </si>
  <si>
    <t>Avoid compliance risk and billing errors.</t>
  </si>
  <si>
    <t>% Accurate and timely orders</t>
  </si>
  <si>
    <t>(Compliant orders ÷ Total government orders) ×100</t>
  </si>
  <si>
    <t>Order accuracy, pricing accuracy, billing accuracy, escalation timeliness</t>
  </si>
  <si>
    <t>Government Order Processing, Billing, Compliance</t>
  </si>
  <si>
    <t xml:space="preserve">Follow-up and obtain missing POs within required attempts. </t>
  </si>
  <si>
    <t>Improve cash realization and billing closure.</t>
  </si>
  <si>
    <t>% PO pending cases resolved</t>
  </si>
  <si>
    <t>(Resolved PO pending cases ÷ Total PO pending cases) ×100</t>
  </si>
  <si>
    <t>Number of attempts, aging days, resolution status</t>
  </si>
  <si>
    <t>Accounts Receivable Support, Consignment Billing</t>
  </si>
  <si>
    <t xml:space="preserve">Returns must be processed daily. </t>
  </si>
  <si>
    <t>Accelerate credits and inventory visibility.</t>
  </si>
  <si>
    <t>% Returns posted same day</t>
  </si>
  <si>
    <t>(Returns posted same day ÷ Total returns received) ×100</t>
  </si>
  <si>
    <t>Return receipt date, posting date, processing volume</t>
  </si>
  <si>
    <t>Reverse Logistics, Returns Processing</t>
  </si>
  <si>
    <t xml:space="preserve">Measure satisfaction from post-interaction surveys. </t>
  </si>
  <si>
    <t>Improve customer experience.</t>
  </si>
  <si>
    <t>(Positive responses ÷ Total survey responses) ×100</t>
  </si>
  <si>
    <t>Survey returns, satisfaction rating, agent performance</t>
  </si>
  <si>
    <t>Contact Center, Customer Service, Quality Management</t>
  </si>
  <si>
    <t xml:space="preserve">Resolve issue during first interaction. </t>
  </si>
  <si>
    <t>Reduce repeat contacts and increase satisfaction.</t>
  </si>
  <si>
    <t>% Issues resolved first contact</t>
  </si>
  <si>
    <t>(Cases resolved at first contact ÷ Total cases) ×100</t>
  </si>
  <si>
    <t>Resolution status, repeat contacts, issue type</t>
  </si>
  <si>
    <t>Customer Service, Knowledge Base, Escalation Management</t>
  </si>
  <si>
    <t xml:space="preserve">Minimize customer waiting on hold. </t>
  </si>
  <si>
    <t>Avg hold duration</t>
  </si>
  <si>
    <t>Total Hold Time ÷ Number of Calls</t>
  </si>
  <si>
    <t>Hold duration, transfer count, consultation time</t>
  </si>
  <si>
    <t>Contact Center Operations</t>
  </si>
  <si>
    <t xml:space="preserve">Quality monitoring of transactions/interactions. </t>
  </si>
  <si>
    <t>Ensure SOP adherence.</t>
  </si>
  <si>
    <t>QA Compliance %</t>
  </si>
  <si>
    <t>Channel QA Evaluation Score</t>
  </si>
  <si>
    <t>(Score achieved ÷ Maximum score) ×100</t>
  </si>
  <si>
    <t>QA checklist items, defects, audit findings</t>
  </si>
  <si>
    <t>Quality Assurance, Training, Operations Governance</t>
  </si>
  <si>
    <t xml:space="preserve">Answer calls within service threshold. </t>
  </si>
  <si>
    <t>Improve accessibility.</t>
  </si>
  <si>
    <t>Avg speed of answer</t>
  </si>
  <si>
    <t>Average Speed of Answer (ASA)</t>
  </si>
  <si>
    <t>Total Waiting Time ÷ Answered Calls</t>
  </si>
  <si>
    <t>Queue wait time, staffing level, call volume</t>
  </si>
  <si>
    <t>Workforce Management, Telephony</t>
  </si>
  <si>
    <t xml:space="preserve">Notify customers regarding expiring inventory. </t>
  </si>
  <si>
    <t>Prevent expired inventory in field.</t>
  </si>
  <si>
    <t>Notification Rate</t>
  </si>
  <si>
    <t>(Notifications sent ÷ Inventory requiring notification) ×100</t>
  </si>
  <si>
    <t>Inventory records, expiry dates, contact accuracy</t>
  </si>
  <si>
    <t>Inventory Management, Field Inventory Support</t>
  </si>
  <si>
    <t xml:space="preserve">Retrieve expired inventory. </t>
  </si>
  <si>
    <t>Minimize compliance and financial risk.</t>
  </si>
  <si>
    <t>Retrieval Rate</t>
  </si>
  <si>
    <t>(Units retrieved/resolved ÷ Expired units identified) ×100</t>
  </si>
  <si>
    <t>Expired units, collection success, customer response</t>
  </si>
  <si>
    <t>Inventory Retrieval, Reverse Logistics</t>
  </si>
  <si>
    <t xml:space="preserve">Accurate device tracking records. </t>
  </si>
  <si>
    <t>Regulatory compliance and traceability.</t>
  </si>
  <si>
    <t>% Accurate device records</t>
  </si>
  <si>
    <t>(Accurate records ÷ Total records audited) ×100</t>
  </si>
  <si>
    <t>Serial numbers, physician data, data entry defects</t>
  </si>
  <si>
    <t>Device Tracking, Quality Assurance</t>
  </si>
  <si>
    <t xml:space="preserve">Process prepaid orders and failed payments. </t>
  </si>
  <si>
    <t>Reduce revenue leakage.</t>
  </si>
  <si>
    <t>% Orders billed correctly</t>
  </si>
  <si>
    <t>(Successfully processed prepaid orders ÷ Total prepaid orders) ×100</t>
  </si>
  <si>
    <t>Payment success, pending transactions, charge attempts</t>
  </si>
  <si>
    <t>Billing Operations, Payment Processing</t>
  </si>
  <si>
    <t xml:space="preserve">Ensure all staff complete mandatory training. </t>
  </si>
  <si>
    <t>Regulatory and contractual compliance.</t>
  </si>
  <si>
    <t>Training Completion Rate</t>
  </si>
  <si>
    <t>Assigned courses, completed courses, overdue items</t>
  </si>
  <si>
    <t>Learning Management, Compliance Management</t>
  </si>
  <si>
    <t xml:space="preserve">Ease of issue resolution. </t>
  </si>
  <si>
    <t>Reduce customer effort.</t>
  </si>
  <si>
    <t>CES Score</t>
  </si>
  <si>
    <t>Survey ratings, customer journey complexity</t>
  </si>
  <si>
    <t>Customer Service, Process Improvement</t>
  </si>
  <si>
    <t>Cross-Process Variable Dependency Map</t>
  </si>
  <si>
    <t>Several KPIs are controlled by common operational drivers:</t>
  </si>
  <si>
    <t>Variable</t>
  </si>
  <si>
    <t>Used In KPIs</t>
  </si>
  <si>
    <t>Influencing Process</t>
  </si>
  <si>
    <t>Staffing Levels</t>
  </si>
  <si>
    <t>ASA, AHT, FCR, Abandonment</t>
  </si>
  <si>
    <t>Case Accuracy, QA, FCR, CSAT</t>
  </si>
  <si>
    <t>Learning &amp; Development</t>
  </si>
  <si>
    <t>Accuracy, QA, Complaint Intake</t>
  </si>
  <si>
    <t>Consignment Audit, Expiry Notifications, Retrieval</t>
  </si>
  <si>
    <t>Master Data Quality</t>
  </si>
  <si>
    <t>Government Orders, Order Release, Device Tracking</t>
  </si>
  <si>
    <t>Master Data Management</t>
  </si>
  <si>
    <t>System Availability</t>
  </si>
  <si>
    <t>Nearly all transaction KPIs</t>
  </si>
  <si>
    <t>IT Operations</t>
  </si>
  <si>
    <t>Escalation Cycle Time</t>
  </si>
  <si>
    <t>Complaint Intake, Warranty, Government Orders</t>
  </si>
  <si>
    <t>Escalation &amp; Governance</t>
  </si>
  <si>
    <t>Knowledge Base Accuracy</t>
  </si>
  <si>
    <t>FCR, AHT, CSAT</t>
  </si>
  <si>
    <t>Customer Response Rate</t>
  </si>
  <si>
    <t>PO Pending, Inventory Retrieval, CSAT</t>
  </si>
  <si>
    <t>Customer Engagement</t>
  </si>
  <si>
    <t>QA Defect Rate</t>
  </si>
  <si>
    <t>Accuracy, QA Score, FCR</t>
  </si>
  <si>
    <t>Critical Business Outcome Mapping</t>
  </si>
  <si>
    <t>The metrics roll up into five executive-level business objectives:</t>
  </si>
  <si>
    <t>Business Objective</t>
  </si>
  <si>
    <t>Primary KPIs</t>
  </si>
  <si>
    <t>Customer Experience Excellence</t>
  </si>
  <si>
    <t>CSAT, CES, FCR, ASA, Abandonment</t>
  </si>
  <si>
    <t>Regulatory &amp; Compliance Assurance</t>
  </si>
  <si>
    <t>Complaint Intake, Device Tracking Accuracy, Training Completion</t>
  </si>
  <si>
    <t>Order-to-Cash Efficiency</t>
  </si>
  <si>
    <t>Order Release, Government Orders, Returns Posting, PO Pending</t>
  </si>
  <si>
    <t>Inventory Governance</t>
  </si>
  <si>
    <t>Consignment Audit, Expiry Notifications, Inventory Retrieval</t>
  </si>
  <si>
    <t>AHT, QA Score, Case Accuracy, Warranty Timeliness</t>
  </si>
  <si>
    <t xml:space="preserve">The contract also identifies four financially at-risk SLA measures that drive service credits: Complaint Intake Timeliness, Government Order Timeliness &amp; Accuracy, Order Release Timeliness, and Warranty Claim Timeliness, each carrying 25% of the 3% monthly at-risk amount allocation. </t>
  </si>
  <si>
    <t>This analysis provides a requirements-to-KPI-to-process traceability model suitable for governance dashboards, KPI catalogues, balanced scorecards, and SLA reporting frameworks.</t>
  </si>
  <si>
    <t>CONSULTING FLOWS — ADDITIVE PERSONA BUSINESS REQUIREMENTS</t>
  </si>
  <si>
    <t>Provide governed product, clinical, case-readiness, and post-procedure support.</t>
  </si>
  <si>
    <t>Improve clinical journey confidence and readiness.</t>
  </si>
  <si>
    <t>Physician, facility, product, procedure date, inventory, support request</t>
  </si>
  <si>
    <t>Product Discovery, Selection, Ordering, Fulfillment, Clinical Support, Warranty</t>
  </si>
  <si>
    <t>Provide one view of account, order, inventory, delivery, financial, return, and warranty activity.</t>
  </si>
  <si>
    <t>Reduce administrative effort and rework.</t>
  </si>
  <si>
    <t>Account, user, PO, price, inventory, shipment, invoice, serial number</t>
  </si>
  <si>
    <t>Account Management, Ordering, Inventory, Logistics, Billing, Returns</t>
  </si>
  <si>
    <t>Provide unified customer, product, opportunity, service, and forecast context.</t>
  </si>
  <si>
    <t>Improve relationship management and growth.</t>
  </si>
  <si>
    <t>Account activity, product interest, purchases, service issues, pipeline, forecast</t>
  </si>
  <si>
    <t>Relationship, Product Selection, Commercial Support, Opportunity, Retention</t>
  </si>
  <si>
    <t>Provide complete context and workflows for onboarding, orders, inquiries, returns, complaints, warranty, billing, and escalation.</t>
  </si>
  <si>
    <t>Improve first-pass resolution and service compliance.</t>
  </si>
  <si>
    <t>Customer, account, order, shipment, invoice, case, serial, channel history</t>
  </si>
  <si>
    <t>Onboarding, Order Management, Case Management, Returns, Warranty, Billing</t>
  </si>
  <si>
    <t>Provide approved education, consented registration, concern capture, and transparent support status.</t>
  </si>
  <si>
    <t>Improve trust, safety, and service transparency.</t>
  </si>
  <si>
    <t>Consent, identity, implant/device, registration, request, case status</t>
  </si>
  <si>
    <t>Education, Care Navigation, Warranty Registration, Patient Support</t>
  </si>
  <si>
    <t>MEDICAL DEVICE BUSINESS SERVICES — CHANGE REQUEST ROADMAP</t>
  </si>
  <si>
    <t>Roadmap for converting Medical_Device_Business_Services_Inc_Mentor.xlsx into an approved, governed and executable change portfolio.</t>
  </si>
  <si>
    <t>ROADMAP BASIS</t>
  </si>
  <si>
    <t>POC program start</t>
  </si>
  <si>
    <t>Revised direction: complete POCs for all eight AI initiatives within six months. Use parallel waves and shared platform controls. POC completion demonstrates feasibility, value and control effectiveness only; it does not authorize production deployment or autonomous operation. Each production release still requires its applicable ARB, Security, Privacy, TQC, GenAI Council and CAB approvals.</t>
  </si>
  <si>
    <t>POC program deadline</t>
  </si>
  <si>
    <t>POC duration</t>
  </si>
  <si>
    <t>6 months</t>
  </si>
  <si>
    <t>Delivery model</t>
  </si>
  <si>
    <t>Parallel POC waves with shared architecture, data, security and governance controls</t>
  </si>
  <si>
    <t>CHANGE REQUEST APPROVAL ROADMAP</t>
  </si>
  <si>
    <t>Step</t>
  </si>
  <si>
    <t>Target Window</t>
  </si>
  <si>
    <t>Required Activity</t>
  </si>
  <si>
    <t>Primary Deliverable</t>
  </si>
  <si>
    <t>Accountable Owner</t>
  </si>
  <si>
    <t>Approval / Decision</t>
  </si>
  <si>
    <t>Exit Condition</t>
  </si>
  <si>
    <t>Week 1</t>
  </si>
  <si>
    <t>Register umbrella change and appoint sponsor/change owner</t>
  </si>
  <si>
    <t>Change record, objective, affected services and initial risk</t>
  </si>
  <si>
    <t>Business Sponsor / Change Manager</t>
  </si>
  <si>
    <t>Change intake accepted</t>
  </si>
  <si>
    <t>Change ID issued and ownership confirmed</t>
  </si>
  <si>
    <t>Weeks 1–3</t>
  </si>
  <si>
    <t>Validate business scope, processes, KPIs and user impacts</t>
  </si>
  <si>
    <t>Validated requirements, process inventory, KPI baseline and RACI</t>
  </si>
  <si>
    <t>Business Process Owners</t>
  </si>
  <si>
    <t>Business review</t>
  </si>
  <si>
    <t>Scope, benefits and acceptance measures approved</t>
  </si>
  <si>
    <t>Weeks 2–5</t>
  </si>
  <si>
    <t>Complete application, data, integration, security and operational impact assessment</t>
  </si>
  <si>
    <t>Impact assessment, dependency map and risk register</t>
  </si>
  <si>
    <t>Enterprise / Solution Architect</t>
  </si>
  <si>
    <t>Impact triage</t>
  </si>
  <si>
    <t>Affected systems, interfaces, data and controls identified</t>
  </si>
  <si>
    <t>Weeks 4–7</t>
  </si>
  <si>
    <t>Define target architecture and release decomposition</t>
  </si>
  <si>
    <t>Context, logical, deployment, data and integration designs; ADRs</t>
  </si>
  <si>
    <t>Solution Architect</t>
  </si>
  <si>
    <t>ARB Gates 1–3</t>
  </si>
  <si>
    <t>Architecture conditionally approved with actions</t>
  </si>
  <si>
    <t>Weeks 5–8</t>
  </si>
  <si>
    <t>Estimate cost, resources, licensing and vendor dependencies</t>
  </si>
  <si>
    <t>Business case, 3E value, ROM estimate and funding request</t>
  </si>
  <si>
    <t>Business Sponsor / PMO</t>
  </si>
  <si>
    <t>Funding decision</t>
  </si>
  <si>
    <t>Funding and delivery capacity committed</t>
  </si>
  <si>
    <t>Weeks 6–10</t>
  </si>
  <si>
    <t>Complete mandatory governance reviews</t>
  </si>
  <si>
    <t>Privacy, Legal, ISRM, TQC, Architecture and AI governance evidence</t>
  </si>
  <si>
    <t>Governance PMO</t>
  </si>
  <si>
    <t>Governance completion gate</t>
  </si>
  <si>
    <t>Mandatory approvals obtained or conditions accepted</t>
  </si>
  <si>
    <t>Weeks 9–11</t>
  </si>
  <si>
    <t>Finalize implementation, test, rollback, communications and support plans</t>
  </si>
  <si>
    <t>Integrated plan, test strategy, cutover/rollback and training plan</t>
  </si>
  <si>
    <t>Program Manager / Operations</t>
  </si>
  <si>
    <t>CAB / release authorization</t>
  </si>
  <si>
    <t>Implementation window and rollback approved</t>
  </si>
  <si>
    <t>Weeks 12–24</t>
  </si>
  <si>
    <t>Deliver Phase 1 foundation and Phase 2 priority automation increments</t>
  </si>
  <si>
    <t>Configured capabilities, integrations, controls and training</t>
  </si>
  <si>
    <t>Delivery Lead</t>
  </si>
  <si>
    <t>Release-specific CAB approvals</t>
  </si>
  <si>
    <t>Acceptance criteria and control tests passed</t>
  </si>
  <si>
    <t>Months 6–12</t>
  </si>
  <si>
    <t>Run governed Phase 3 AI POC and controlled pilot</t>
  </si>
  <si>
    <t>POC results, golden-set evaluation, red-team evidence and 3E tracking</t>
  </si>
  <si>
    <t>GenAI Council and production readiness</t>
  </si>
  <si>
    <t>Pilot proves value, safety, operability and supportability</t>
  </si>
  <si>
    <t>After each release</t>
  </si>
  <si>
    <t>Production validation, benefits tracking and post-implementation review</t>
  </si>
  <si>
    <t>PIR, KPI results, incidents, residual risks and lessons learned</t>
  </si>
  <si>
    <t>Service Owner</t>
  </si>
  <si>
    <t>Close / remediate / rollback</t>
  </si>
  <si>
    <t>Outcomes accepted and follow-on actions assigned</t>
  </si>
  <si>
    <t>36-MONTH RELEASE ROADMAP FROM SOURCE WORKBOOK</t>
  </si>
  <si>
    <t>Release Phase</t>
  </si>
  <si>
    <t>Calculated Window</t>
  </si>
  <si>
    <t>Source Milestones / Scope</t>
  </si>
  <si>
    <t>Change Classification</t>
  </si>
  <si>
    <t>Mandatory Gate</t>
  </si>
  <si>
    <t>Exit Evidence</t>
  </si>
  <si>
    <t>Phase 1 — Operational Foundation</t>
  </si>
  <si>
    <t>1.1 Operational Visibility &amp; Service Management; 1.2 Process Standardization &amp; Knowledge Management</t>
  </si>
  <si>
    <t>Standard / normal change portfolio</t>
  </si>
  <si>
    <t>Business + ARB Gate 1</t>
  </si>
  <si>
    <t>KPI ownership, SOP/process library, governance calendar, baseline dashboards and data-quality controls</t>
  </si>
  <si>
    <t>Phase 2 — Process Automation</t>
  </si>
  <si>
    <t>2.1 Order Management Automation; 2.2 Complaint &amp; Warranty Automation</t>
  </si>
  <si>
    <t>Normal change with interface/RPA child changes</t>
  </si>
  <si>
    <t>ARB Gate 2 + Security/TQC</t>
  </si>
  <si>
    <t>API/RPA contracts, exception controls, test results, audit trail, training and rollback</t>
  </si>
  <si>
    <t>Phase 3 — AI-Enabled Operations</t>
  </si>
  <si>
    <t>3.1 Customer Self-Service &amp; Digital Engagement; 3.2 Agent Assist &amp; Real-Time AI Guidance</t>
  </si>
  <si>
    <t>GenAI POC, then controlled pilot</t>
  </si>
  <si>
    <t>GenAI governance + ARB Gate 3</t>
  </si>
  <si>
    <t>Approved use case, privacy/security review, grounding quality, guardrails, HITL, red-team and value evidence</t>
  </si>
  <si>
    <t>Phase 4 — Predictive Operations</t>
  </si>
  <si>
    <t>4.1 Predictive Workforce Intelligence; 4.2 Predictive SLA &amp; Service Risk Management</t>
  </si>
  <si>
    <t>Model-enabled child CR</t>
  </si>
  <si>
    <t>Model risk + ARB Gates 3–5</t>
  </si>
  <si>
    <t>Historical-data fitness, bias/accuracy thresholds, drift monitoring, explainability and operational playbooks</t>
  </si>
  <si>
    <t>Phase 5 — Agentic Operations</t>
  </si>
  <si>
    <t>5.1 Agentic Complaint Management; 5.2 Agentic Warranty Operations</t>
  </si>
  <si>
    <t>High-risk controlled-autonomy CR</t>
  </si>
  <si>
    <t>Security, AI governance, ARB and Production Council</t>
  </si>
  <si>
    <t>Agent identity, least privilege, approval matrix, immutable audit, fail-safe/kill switch and supervised pilot</t>
  </si>
  <si>
    <t>Phase 6 — Autonomous Enterprise</t>
  </si>
  <si>
    <t>6.1 AI Operations Command Center &amp; Digital Workforce; 6.2 Enterprise Knowledge Brain</t>
  </si>
  <si>
    <t>Enterprise transformation program / separate CR</t>
  </si>
  <si>
    <t>Executive, ARB and Production Council</t>
  </si>
  <si>
    <t>Multi-agent controls, enterprise SLOs, capacity, HA/DR, continuous governance and benefits realization</t>
  </si>
  <si>
    <t>CHANGE PACKAGE — MINIMUM REQUIRED ARTIFACTS</t>
  </si>
  <si>
    <t>Artifact</t>
  </si>
  <si>
    <t>Source Available</t>
  </si>
  <si>
    <t>Gap / Action</t>
  </si>
  <si>
    <t>Required By</t>
  </si>
  <si>
    <t>Change request and executive business case</t>
  </si>
  <si>
    <t>Defines why, value, cost, scope and approval sought</t>
  </si>
  <si>
    <t>Partial — Opportunity and phase sheets</t>
  </si>
  <si>
    <t>Consolidate into one approved CR narrative and 3E value case</t>
  </si>
  <si>
    <t>Business Sponsor</t>
  </si>
  <si>
    <t>Intake</t>
  </si>
  <si>
    <t>Validated requirements and acceptance criteria</t>
  </si>
  <si>
    <t>Creates testable boundaries for every release</t>
  </si>
  <si>
    <t>Partial — OKR_Business Requirements</t>
  </si>
  <si>
    <t>Validate KPIs, formulas, targets, process scope and nonfunctional requirements</t>
  </si>
  <si>
    <t>Business Analyst / Product Owner</t>
  </si>
  <si>
    <t>Current/target process maps and RACI</t>
  </si>
  <si>
    <t>Shows operating-model and role impacts</t>
  </si>
  <si>
    <t>Partial — Opportunity, Role_Responsibilities and RACI</t>
  </si>
  <si>
    <t>Approve process maps, ownership and segregation of duties</t>
  </si>
  <si>
    <t>Process Owners</t>
  </si>
  <si>
    <t>ARB Gate 1</t>
  </si>
  <si>
    <t>Architecture package</t>
  </si>
  <si>
    <t>Documents context, applications, data, integrations, deployment and decisions</t>
  </si>
  <si>
    <t>Partial — current architecture workbook</t>
  </si>
  <si>
    <t>Complete trust boundaries, physical deployment, data lineage and ADR register</t>
  </si>
  <si>
    <t>Integration and access package</t>
  </si>
  <si>
    <t>Defines APIs, RPA, credentials, limits and dependencies</t>
  </si>
  <si>
    <t>Partial — Known Integration Points</t>
  </si>
  <si>
    <t>Obtain access; complete contracts, owners, SLAs, retries/DLQs and bot identities</t>
  </si>
  <si>
    <t>ARB Gate 2</t>
  </si>
  <si>
    <t>Security, privacy and compliance package</t>
  </si>
  <si>
    <t>Addresses PHI/PII, cyber, regulatory and audit controls</t>
  </si>
  <si>
    <t>Complete DPIA/privacy, threat model, security tests, retention and audit design</t>
  </si>
  <si>
    <t>Security / Privacy</t>
  </si>
  <si>
    <t>AI governance package</t>
  </si>
  <si>
    <t>Controls models, prompts, RAG, safety and human oversight</t>
  </si>
  <si>
    <t>Partial — GenAI_Status and GenAI_RACI</t>
  </si>
  <si>
    <t>Create model cards, prompt registry, evaluation thresholds, red-team and HITL evidence</t>
  </si>
  <si>
    <t>Before Phase 3</t>
  </si>
  <si>
    <t>Test and validation strategy</t>
  </si>
  <si>
    <t>Proves functional, integration, performance, resilience and regulated-process quality</t>
  </si>
  <si>
    <t>Define traceability, golden set, UAT, load, failover and regression tests</t>
  </si>
  <si>
    <t>TQC / QA Lead</t>
  </si>
  <si>
    <t>Before build completion</t>
  </si>
  <si>
    <t>Implementation, rollback and continuity plan</t>
  </si>
  <si>
    <t>Controls production change and service risk</t>
  </si>
  <si>
    <t>Document cutover, rollback triggers, data migration, fallback channels and downtime</t>
  </si>
  <si>
    <t>Release Manager</t>
  </si>
  <si>
    <t>CAB</t>
  </si>
  <si>
    <t>Operations and support readiness</t>
  </si>
  <si>
    <t>Makes the solution supportable after release</t>
  </si>
  <si>
    <t>Partial — monitoring components identified</t>
  </si>
  <si>
    <t>Define SLOs, alerts, runbooks, support model, training and incident escalation</t>
  </si>
  <si>
    <t>Benefits and post-implementation review plan</t>
  </si>
  <si>
    <t>Confirms the change delivers intended outcomes</t>
  </si>
  <si>
    <t>Partial — KPI frameworks exist</t>
  </si>
  <si>
    <t>Baseline metrics; name KPI owners; define 30/60/90-day PIR cadence</t>
  </si>
  <si>
    <t>Business Owner / PMO</t>
  </si>
  <si>
    <t>Before approval</t>
  </si>
  <si>
    <t>CRITICAL DEPENDENCIES AND DECISION POINTS</t>
  </si>
  <si>
    <t>Dependency / Decision</t>
  </si>
  <si>
    <t>Required Resolution</t>
  </si>
  <si>
    <t>Impact if Unresolved</t>
  </si>
  <si>
    <t>Validate source processes, SOPs, business requirements and KPIs</t>
  </si>
  <si>
    <t>Open questions exist in the source workbook</t>
  </si>
  <si>
    <t>Obtain formal process-owner validation and baseline data</t>
  </si>
  <si>
    <t>BPS / J&amp;J Process Owners</t>
  </si>
  <si>
    <t>Before intake approval</t>
  </si>
  <si>
    <t>Scope, value and testing remain unprovable</t>
  </si>
  <si>
    <t>Access to Genesys, Salesforce, Butterfly, Relatio, Outlook/Graph and other integrations</t>
  </si>
  <si>
    <t>Current plan notes JDE access only</t>
  </si>
  <si>
    <t>Approve access, environments, service accounts and interface contacts</t>
  </si>
  <si>
    <t>J&amp;J IT / Integration Owners</t>
  </si>
  <si>
    <t>Before solution design completion</t>
  </si>
  <si>
    <t>Architecture and estimates remain provisional</t>
  </si>
  <si>
    <t>GenAI Council and mandatory governance pathway</t>
  </si>
  <si>
    <t>Governance lifecycle is defined but statuses are blank</t>
  </si>
  <si>
    <t>Submit use case and schedule Legal, Privacy, ISRM, Architecture and TQC reviews</t>
  </si>
  <si>
    <t>Use Case Owner / Governance PMO</t>
  </si>
  <si>
    <t>Before Phase 3 build</t>
  </si>
  <si>
    <t>AI work cannot progress beyond approved experimentation</t>
  </si>
  <si>
    <t>ARB evidence closure</t>
  </si>
  <si>
    <t>Current ARB: 8 defined; 22 partial/evidence required</t>
  </si>
  <si>
    <t>Close priority architecture, security, data, NFR, HA/DR and operating gaps</t>
  </si>
  <si>
    <t>Before production readiness</t>
  </si>
  <si>
    <t>Approval remains conditional or held</t>
  </si>
  <si>
    <t>Funding and delivery-capacity commitment</t>
  </si>
  <si>
    <t>Source roadmap has capabilities but no approved cost/resource baseline</t>
  </si>
  <si>
    <t>Complete ROM, license/vendor costs, staffing and phase funding</t>
  </si>
  <si>
    <t>Sponsor / PMO / Finance</t>
  </si>
  <si>
    <t>Before CAB authorization</t>
  </si>
  <si>
    <t>Dates and scope cannot be committed</t>
  </si>
  <si>
    <t>Controlled scope for autonomy</t>
  </si>
  <si>
    <t>Phases 5–6 introduce high-risk autonomous behavior</t>
  </si>
  <si>
    <t>Define prohibited actions, approval thresholds, kill switch and residual-risk acceptance</t>
  </si>
  <si>
    <t>Business Risk / AI Governance</t>
  </si>
  <si>
    <t>Before Phase 5</t>
  </si>
  <si>
    <t>Unacceptable regulatory and operational exposure</t>
  </si>
  <si>
    <t>DECISION RECOMMENDATION</t>
  </si>
  <si>
    <t>Approve one six-month AI POC program covering all eight initiatives from 4 August 2026 to 3 February 2027. Run the initiatives in four overlapping waves on shared architecture and governance foundations, then complete integrated validation and an executive decision gate. Production deployment remains outside this POC authorization and must proceed through risk-based child changes.</t>
  </si>
  <si>
    <t>Source basis: Medical_Device_Business_Services_Inc_Mentor.xlsx (six phase sheets, Opportunity, Questions, Role_Responsibilities, RACI and OKR_Business Requirements), plus the current workbook’s Plan, GenAI_Status, Readiness - ARB and integration artifacts.</t>
  </si>
  <si>
    <t>SIX-MONTH AI POC DELIVERY PLAN</t>
  </si>
  <si>
    <t>Wave</t>
  </si>
  <si>
    <t>POC Window</t>
  </si>
  <si>
    <t>AI Initiatives</t>
  </si>
  <si>
    <t>POC Scope / Demonstration</t>
  </si>
  <si>
    <t>Success Evidence</t>
  </si>
  <si>
    <t>Accountable Lead</t>
  </si>
  <si>
    <t>Decision Gate</t>
  </si>
  <si>
    <t>Wave 0 — Mobilize &amp; Controls</t>
  </si>
  <si>
    <t>Shared AI platform, data access, RAG, evaluation and governance foundation</t>
  </si>
  <si>
    <t>Confirm prioritized scenarios; provision sandbox; connect representative non-production data; establish identity, guardrails, HITL, audit, golden set and measurement baselines</t>
  </si>
  <si>
    <t>Approved POC charter; access; architecture; test data; risk assessment; evaluation thresholds</t>
  </si>
  <si>
    <t>Program Lead / Solution Architect</t>
  </si>
  <si>
    <t>POC readiness approval</t>
  </si>
  <si>
    <t>Wave 1 — Assist &amp; Engage</t>
  </si>
  <si>
    <t>1. Customer Self-Service &amp; Digital Engagement
2. Agent Assist &amp; Real-Time AI Guidance</t>
  </si>
  <si>
    <t>Demonstrate grounded customer inquiry resolution and CSR guidance across representative order, case, warranty and knowledge scenarios</t>
  </si>
  <si>
    <t>Grounded-answer accuracy; retrieval success; response latency; containment/productivity value; safety and audit results</t>
  </si>
  <si>
    <t>AI Product Owner / Customer Service</t>
  </si>
  <si>
    <t>Wave 1 demo and value review</t>
  </si>
  <si>
    <t>Wave 2 — Predict</t>
  </si>
  <si>
    <t>3. Predictive Workforce Intelligence
4. Predictive SLA &amp; Service Risk Management</t>
  </si>
  <si>
    <t>Demonstrate demand/workforce forecast and early-warning models for SLA breach, backlog and escalation risk using historical data</t>
  </si>
  <si>
    <t>Forecast accuracy; precision/recall; lead time; explainability; bias and drift baseline; actionable intervention</t>
  </si>
  <si>
    <t>Data Science Lead / Operations</t>
  </si>
  <si>
    <t>Model validation review</t>
  </si>
  <si>
    <t>Wave 3 — Agentic Execution</t>
  </si>
  <si>
    <t>5. Agentic Complaint Management
6. Agentic Warranty Operations</t>
  </si>
  <si>
    <t>Demonstrate supervised intake, classification, evidence gathering, routing and recommendation workflows with mandatory approval before write or closure</t>
  </si>
  <si>
    <t>Task accuracy; routing quality; manual-touch reduction; approval enforcement; audit completeness; fail-safe behavior</t>
  </si>
  <si>
    <t>Agentic AI Lead / Quality &amp; Warranty</t>
  </si>
  <si>
    <t>Controlled-autonomy review</t>
  </si>
  <si>
    <t>Wave 4 — Enterprise Intelligence</t>
  </si>
  <si>
    <t>7. AI Operations Command Center &amp; Digital Workforce Orchestration
8. Enterprise Knowledge Brain &amp; Cognitive Intelligence</t>
  </si>
  <si>
    <t>Demonstrate consolidated agent telemetry, exception visibility, orchestration monitoring and trusted cross-domain knowledge retrieval</t>
  </si>
  <si>
    <t>Telemetry coverage; incident traceability; knowledge quality; access filtering; cross-agent visibility; operational usefulness</t>
  </si>
  <si>
    <t>Platform Lead / Enterprise Architecture</t>
  </si>
  <si>
    <t>Platform architecture review</t>
  </si>
  <si>
    <t>Integrated Validation</t>
  </si>
  <si>
    <t>All eight initiatives</t>
  </si>
  <si>
    <t>Run end-to-end scenario testing, red teaming, security/privacy checks, performance testing, value measurement and support-readiness assessment</t>
  </si>
  <si>
    <t>Consolidated evaluation report; residual risks; 3E value; NFR results; runbooks; production recommendations</t>
  </si>
  <si>
    <t>TQC / ISRM / AI Governance</t>
  </si>
  <si>
    <t>Integrated assurance gate</t>
  </si>
  <si>
    <t>Executive Decision &amp; Closure</t>
  </si>
  <si>
    <t>POC portfolio</t>
  </si>
  <si>
    <t>Present outcomes, prioritize production candidates, approve remediation and define child change requests and funding</t>
  </si>
  <si>
    <t>Signed POC report; ranked backlog; go/no-go decisions; funded next steps; closure/PIR record</t>
  </si>
  <si>
    <t>Business Sponsor / GenAI Council</t>
  </si>
  <si>
    <t>POC completion by 3 Feb 2027</t>
  </si>
  <si>
    <t>POC GOVERNANCE RULES</t>
  </si>
  <si>
    <t>Rule</t>
  </si>
  <si>
    <t>Required Control</t>
  </si>
  <si>
    <t>POC Constraint</t>
  </si>
  <si>
    <t>Non-production only</t>
  </si>
  <si>
    <t>All POCs</t>
  </si>
  <si>
    <t>Isolated sandbox and representative/de-identified data unless specifically approved</t>
  </si>
  <si>
    <t>Environment and data approval</t>
  </si>
  <si>
    <t>Platform / Privacy</t>
  </si>
  <si>
    <t>No production transactions</t>
  </si>
  <si>
    <t>Agentic complaint and warranty POCs</t>
  </si>
  <si>
    <t>Mandatory approval before any simulated write, decision or closure</t>
  </si>
  <si>
    <t>Approval logs and negative tests</t>
  </si>
  <si>
    <t>Business Risk / Quality</t>
  </si>
  <si>
    <t>No unsupervised autonomy</t>
  </si>
  <si>
    <t>Self-service, agent assist and knowledge brain</t>
  </si>
  <si>
    <t>Approved sources, access filtering, citations/traceability and retrieval evaluation</t>
  </si>
  <si>
    <t>Golden-set and retrieval results</t>
  </si>
  <si>
    <t>No ungrounded regulated guidance</t>
  </si>
  <si>
    <t>Model assurance</t>
  </si>
  <si>
    <t>Predictive and GenAI POCs</t>
  </si>
  <si>
    <t>Defined pass/fail thresholds, bias checks, red teaming and failure analysis</t>
  </si>
  <si>
    <t>Evaluation report</t>
  </si>
  <si>
    <t>TQC / AI Governance</t>
  </si>
  <si>
    <t>No success claim without measured evidence</t>
  </si>
  <si>
    <t>Trace prompts/inputs, retrieval, decisions, approvals, outputs and errors</t>
  </si>
  <si>
    <t>End-to-end trace samples</t>
  </si>
  <si>
    <t>Security / Operations</t>
  </si>
  <si>
    <t>100% critical-action traceability</t>
  </si>
  <si>
    <t>Production separation</t>
  </si>
  <si>
    <t>POC closure produces recommendations and child CRs—not implicit deployment approval</t>
  </si>
  <si>
    <t>Signed decision record</t>
  </si>
  <si>
    <t>Sponsor / Change Manager</t>
  </si>
  <si>
    <t>Separate production authorization required</t>
  </si>
  <si>
    <t>CONSULTING FLOWS — ADDITIVE MVP BACKLOG</t>
  </si>
  <si>
    <t>Source row</t>
  </si>
  <si>
    <t>Journey / requirement</t>
  </si>
  <si>
    <t>Additive treatment</t>
  </si>
  <si>
    <t>Scope boundary</t>
  </si>
  <si>
    <t>Primary owner</t>
  </si>
  <si>
    <t>Manage Customer Account</t>
  </si>
  <si>
    <t>Add account/contact/user/permission administration workflow</t>
  </si>
  <si>
    <t>MD supports requests and display; SAP/MDM remain source of truth</t>
  </si>
  <si>
    <t>Customer Service / MDM</t>
  </si>
  <si>
    <t>Business + security</t>
  </si>
  <si>
    <t>Approved fields, permissions, audit trail</t>
  </si>
  <si>
    <t>36–37</t>
  </si>
  <si>
    <t>Consignment Contract &amp; Pricing</t>
  </si>
  <si>
    <t>Add consignment-contract intake, initial shipment request, and price display/validation</t>
  </si>
  <si>
    <t>Upstream systems retain contract price authority; broader contract management remains out of scope</t>
  </si>
  <si>
    <t>Commercial / Contract Owner</t>
  </si>
  <si>
    <t>Business + architecture</t>
  </si>
  <si>
    <t>Integration, approval, and exception rules</t>
  </si>
  <si>
    <t>Submit Order</t>
  </si>
  <si>
    <t>Add completeness validation, submission, and confirmation</t>
  </si>
  <si>
    <t>SAP remains transaction system of record</t>
  </si>
  <si>
    <t>Business + interface</t>
  </si>
  <si>
    <t>Validation results and confirmation</t>
  </si>
  <si>
    <t>Order Changes</t>
  </si>
  <si>
    <t>Add modify/cancel/reschedule/add-remove workflow</t>
  </si>
  <si>
    <t>Apply authorization, fulfillment, and cutoff rules</t>
  </si>
  <si>
    <t>Change audit and downstream acknowledgement</t>
  </si>
  <si>
    <t>Manage Receivable</t>
  </si>
  <si>
    <t>Display invoices, balances, aging, and receivable status</t>
  </si>
  <si>
    <t>AR ownership and accounting remain in Finance</t>
  </si>
  <si>
    <t>Finance / AR</t>
  </si>
  <si>
    <t>Finance + privacy</t>
  </si>
  <si>
    <t>Read-only integration and reconciliation</t>
  </si>
  <si>
    <t>Process Payment</t>
  </si>
  <si>
    <t>Enable approved payment initiation/status and handoff</t>
  </si>
  <si>
    <t>Payment processing and reconciliation remain in approved finance/payment systems</t>
  </si>
  <si>
    <t>Finance / Payments</t>
  </si>
  <si>
    <t>Finance + security</t>
  </si>
  <si>
    <t>PCI/security approval and transaction evidence</t>
  </si>
  <si>
    <t>68–69</t>
  </si>
  <si>
    <t>Initiate Return</t>
  </si>
  <si>
    <t>Display serial-number return window and capture return request</t>
  </si>
  <si>
    <t>SAP remains inventory/credit source of truth; no RMA terminology required</t>
  </si>
  <si>
    <t>Returns / Customer Service</t>
  </si>
  <si>
    <t>Business + integration</t>
  </si>
  <si>
    <t>Eligibility rule, serial validation, request confirmation</t>
  </si>
  <si>
    <t>Delivery Visibility</t>
  </si>
  <si>
    <t>Display tracking, ship status, receipt, and delivery exceptions</t>
  </si>
  <si>
    <t>Carrier/WMS remain fulfillment sources</t>
  </si>
  <si>
    <t>Supply Chain</t>
  </si>
  <si>
    <t>Tracking freshness and exception evidence</t>
  </si>
  <si>
    <t>Usage Support</t>
  </si>
  <si>
    <t>Add serial-driven bill-and-replace, warranty, claim, and device workflow</t>
  </si>
  <si>
    <t>Regulatory and financial approvals remain with accountable functions</t>
  </si>
  <si>
    <t>Warranty / Quality</t>
  </si>
  <si>
    <t>Quality + business</t>
  </si>
  <si>
    <t>Serial traceability and approval trail</t>
  </si>
  <si>
    <t>Responsibilities</t>
  </si>
  <si>
    <t>Individual Metric</t>
  </si>
  <si>
    <t>Target Driver</t>
  </si>
  <si>
    <t>Linked KPI</t>
  </si>
  <si>
    <t>1. Contact Center Agent – Customer Service</t>
  </si>
  <si>
    <t>Total Calls Completed</t>
  </si>
  <si>
    <t>AHT, ASA</t>
  </si>
  <si>
    <t>Handle inbound voice customer inquiries.</t>
  </si>
  <si>
    <t>Total Talk+Hold+ACW ÷ Calls</t>
  </si>
  <si>
    <t>Order status enquiries.</t>
  </si>
  <si>
    <t>Resolved First Contact ÷ Total Cases</t>
  </si>
  <si>
    <t>Order modifications.</t>
  </si>
  <si>
    <t>QA Score ÷ Maximum Score</t>
  </si>
  <si>
    <t>Customer issue resolution.</t>
  </si>
  <si>
    <t>Queue Abandons during shift</t>
  </si>
  <si>
    <t>Escalation identification.</t>
  </si>
  <si>
    <t>Positive Surveys ÷ Surveys</t>
  </si>
  <si>
    <t>First-contact resolution. [MEntor-Wip...l - signed | PDF]</t>
  </si>
  <si>
    <t>Logged-in Time ÷ Scheduled Time</t>
  </si>
  <si>
    <t>Correct Escalations ÷ Total Escalations</t>
  </si>
  <si>
    <t>2. Contact Center Agent – Field Inventory &amp; Consignment</t>
  </si>
  <si>
    <t>Closed Cases ÷ Assigned Cases</t>
  </si>
  <si>
    <t>Handle field inventory inquiries.</t>
  </si>
  <si>
    <t>Accurate Updates ÷ Transactions</t>
  </si>
  <si>
    <t>Trunk stock orders.</t>
  </si>
  <si>
    <t>Expiring Inventory Notification Accuracy</t>
  </si>
  <si>
    <t>Successful Notifications ÷ Identified Inventory</t>
  </si>
  <si>
    <t>Consignment inventory issues.</t>
  </si>
  <si>
    <t>Consignment Audit Support Timeliness</t>
  </si>
  <si>
    <t>Tasks Completed On Time ÷ Total Tasks</t>
  </si>
  <si>
    <t>Expiring inventory requests.</t>
  </si>
  <si>
    <t>Audit Errors ÷ Audits Processed</t>
  </si>
  <si>
    <t>Audit support. [MEntor-Wip...l - signed | PDF]</t>
  </si>
  <si>
    <t>3. Contact Center Agent – Warranty / Complaints / Device Tracking</t>
  </si>
  <si>
    <t>Complaints Entered &lt;48 hrs ÷ Total Complaints</t>
  </si>
  <si>
    <t>Complaint intake.</t>
  </si>
  <si>
    <t>Accurate Entries ÷ Total Entries</t>
  </si>
  <si>
    <t>Warranty intake.</t>
  </si>
  <si>
    <t>Cases Processed Within SLA ÷ Total Cases</t>
  </si>
  <si>
    <t>Device tracking support.</t>
  </si>
  <si>
    <t>Correct Records ÷ Total Records</t>
  </si>
  <si>
    <t>Data capture.</t>
  </si>
  <si>
    <t>Escalation to Quality Teams. [MEntor-Wip...l - signed | PDF]</t>
  </si>
  <si>
    <t>4. Back Office Agent – Customer Service</t>
  </si>
  <si>
    <t>Orders Completed</t>
  </si>
  <si>
    <t>Order Entry.</t>
  </si>
  <si>
    <t>Orders Without Rework ÷ Total Orders</t>
  </si>
  <si>
    <t>Order Changes.</t>
  </si>
  <si>
    <t>Orders Released Within SLA ÷ Orders Processed</t>
  </si>
  <si>
    <t>Customer Email Management.</t>
  </si>
  <si>
    <t>Emails Responded Within SLA ÷ Total Emails</t>
  </si>
  <si>
    <t>AR Coordination.</t>
  </si>
  <si>
    <t>Correct Returns ÷ Total Returns</t>
  </si>
  <si>
    <t>Reverse Logistics processing. [MEntor-Wip...l - signed | PDF]</t>
  </si>
  <si>
    <t>5. Back Office Agent – Field Inventory / Consignment</t>
  </si>
  <si>
    <t>Consignment Reconciliation Accuracy</t>
  </si>
  <si>
    <t>Accurate Reconciliations ÷ Total</t>
  </si>
  <si>
    <t>Inventory management activities.</t>
  </si>
  <si>
    <t>PO Obtained ÷ Pending PO Cases</t>
  </si>
  <si>
    <t>Consignment reconciliations.</t>
  </si>
  <si>
    <t>Resolved Cases ÷ Assigned Cases</t>
  </si>
  <si>
    <t>Audit preparation.</t>
  </si>
  <si>
    <t>Audits Prepared ÷ Scheduled Audits</t>
  </si>
  <si>
    <t>PO follow-up activities. [MEntor-Wip...l - signed | PDF]</t>
  </si>
  <si>
    <t>Correct Billings ÷ Billings Processed</t>
  </si>
  <si>
    <t>6. Back Office Agent – Warranty / Complaints / Device Tracking</t>
  </si>
  <si>
    <t>Closed Cases ÷ Total Cases</t>
  </si>
  <si>
    <t>Non-voice complaint processing.</t>
  </si>
  <si>
    <t>Correct Records ÷ Records Reviewed</t>
  </si>
  <si>
    <t>Device tracking maintenance.</t>
  </si>
  <si>
    <t>Complaints Processed Within SLA ÷ Total</t>
  </si>
  <si>
    <t>Warranty case administration. [MEntor-Wip...l - signed | PDF]</t>
  </si>
  <si>
    <t>Rework Cases ÷ Total Cases</t>
  </si>
  <si>
    <t>7. Contact Center Manager (US)</t>
  </si>
  <si>
    <t>Target Area</t>
  </si>
  <si>
    <t>SLA Met ÷ Total SLA</t>
  </si>
  <si>
    <t>Manage US agents.</t>
  </si>
  <si>
    <t>Team FCR Rate</t>
  </si>
  <si>
    <t>L1 escalation.</t>
  </si>
  <si>
    <t>Resolved within SLA ÷ Escalations</t>
  </si>
  <si>
    <t>Operational performance management. [MEntor-Wip...l - signed | PDF]</t>
  </si>
  <si>
    <t>Completed Coaching ÷ Planned Coaching</t>
  </si>
  <si>
    <t>Team Survey Score</t>
  </si>
  <si>
    <t>8. Back Office Manager</t>
  </si>
  <si>
    <t>Transactions Completed ÷ Planned Volume</t>
  </si>
  <si>
    <t>Lead India delivery teams.</t>
  </si>
  <si>
    <t>Error-Free Transactions ÷ Total Transactions</t>
  </si>
  <si>
    <t>Production oversight.</t>
  </si>
  <si>
    <t>Backlog Closed ÷ Backlog Opened</t>
  </si>
  <si>
    <t>L1 escalation handling. [MEntor-Wip...l - signed | PDF]</t>
  </si>
  <si>
    <t>SLA Met ÷ SLA Due</t>
  </si>
  <si>
    <t>Retained Resources ÷ Team Strength</t>
  </si>
  <si>
    <t>9. Operations Manager</t>
  </si>
  <si>
    <t>Executive KPI</t>
  </si>
  <si>
    <t>SLAs Met ÷ Total SLAs</t>
  </si>
  <si>
    <t>Manage engagement delivery.</t>
  </si>
  <si>
    <t>KPIs Met ÷ Total KPIs</t>
  </si>
  <si>
    <t>Governance.</t>
  </si>
  <si>
    <t>Escalation management.</t>
  </si>
  <si>
    <t>Value Recovered ÷ Value Identified</t>
  </si>
  <si>
    <t>Financial accountability.</t>
  </si>
  <si>
    <t>Improvements Delivered ÷ Planned</t>
  </si>
  <si>
    <t>Client satisfaction. [MEntor-Wip...l - signed | PDF]</t>
  </si>
  <si>
    <t>RCA Closed Within SLA ÷ RCA Raised</t>
  </si>
  <si>
    <t>Closed Escalations ÷ Total Escalations</t>
  </si>
  <si>
    <t>10. Quality Analyst</t>
  </si>
  <si>
    <t>Transactions Audited ÷ Total Transactions</t>
  </si>
  <si>
    <t>Quality monitoring.</t>
  </si>
  <si>
    <t>Audits Completed On Time ÷ Planned</t>
  </si>
  <si>
    <t>Internal audits.</t>
  </si>
  <si>
    <t>Defects Found ÷ Total Defects</t>
  </si>
  <si>
    <t>Process compliance reviews.</t>
  </si>
  <si>
    <t>Correct Audit Results ÷ Reviewed Audits</t>
  </si>
  <si>
    <t>KPI validation. [MEntor-Wip...l - signed | PDF]</t>
  </si>
  <si>
    <t>Closed CAPA ÷ Open CAPA</t>
  </si>
  <si>
    <t>11. Admin Executive</t>
  </si>
  <si>
    <t>Delivered Reports On Time ÷ Planned Reports</t>
  </si>
  <si>
    <t>Dashboard creation.</t>
  </si>
  <si>
    <t>Correct Reports ÷ Total Reports</t>
  </si>
  <si>
    <t>Reporting.</t>
  </si>
  <si>
    <t>Actions Closed ÷ Total Actions</t>
  </si>
  <si>
    <t>Customer review preparation.</t>
  </si>
  <si>
    <t>Reports Available On Schedule ÷ Planned Schedule</t>
  </si>
  <si>
    <t>Governance support. [MEntor-Wip...l - signed | PDF]</t>
  </si>
  <si>
    <t>12. Surgeon</t>
  </si>
  <si>
    <t>Discover products and review clinical evidence.</t>
  </si>
  <si>
    <t>Select implant and sizer configuration.</t>
  </si>
  <si>
    <t>Prepare and submit procedure or easy orders.</t>
  </si>
  <si>
    <t>Confirm product availability and delivery for cases.</t>
  </si>
  <si>
    <t>Access clinical education and case support.</t>
  </si>
  <si>
    <t>Reconcile products used after procedures.</t>
  </si>
  <si>
    <t>Initiate returns, warranty claims, and device registration.</t>
  </si>
  <si>
    <t>Report product issues and complaints promptly.</t>
  </si>
  <si>
    <t>13. Office Manager</t>
  </si>
  <si>
    <t>Maintain account, contacts, users, and permissions.</t>
  </si>
  <si>
    <t>Create and submit customer orders.</t>
  </si>
  <si>
    <t>Manage pricing, purchase orders, and commercial details.</t>
  </si>
  <si>
    <t>Manage inventory, consignment, and procedure availability.</t>
  </si>
  <si>
    <t>Track shipments and resolve delivery exceptions.</t>
  </si>
  <si>
    <t>Review invoices, balances, payments, and credits.</t>
  </si>
  <si>
    <t>Coordinate returns, warranty, and device-tracking activities.</t>
  </si>
  <si>
    <t>14. Sales Rep</t>
  </si>
  <si>
    <t>Manage customer accounts and relationships.</t>
  </si>
  <si>
    <t>Recommend products and support product selection.</t>
  </si>
  <si>
    <t>Support quotes, pricing, and order placement.</t>
  </si>
  <si>
    <t>Coordinate cases, samples, and customer issues.</t>
  </si>
  <si>
    <t>Identify customer opportunities and whitespace.</t>
  </si>
  <si>
    <t>Maintain pipeline and forecast territory demand.</t>
  </si>
  <si>
    <t>Execute retention actions and manage escalations.</t>
  </si>
  <si>
    <t>15. CSR</t>
  </si>
  <si>
    <t>Create and update customer accounts.</t>
  </si>
  <si>
    <t>Capture and submit customer orders.</t>
  </si>
  <si>
    <t>Validate customer, commercial, financial, and availability rules.</t>
  </si>
  <si>
    <t>Manage order changes, repeat orders, and exceptions.</t>
  </si>
  <si>
    <t>Provide order, shipment, and delivery status.</t>
  </si>
  <si>
    <t>Research and respond to customer inquiries.</t>
  </si>
  <si>
    <t>Initiate returns and communicate credits.</t>
  </si>
  <si>
    <t>Capture complaints, warranty claims, and device records.</t>
  </si>
  <si>
    <t>Support invoice, balance, payment, and billing questions.</t>
  </si>
  <si>
    <t>Resolve or escalate product and order issues.</t>
  </si>
  <si>
    <t>16. Patient</t>
  </si>
  <si>
    <t>Access approved product and implant information.</t>
  </si>
  <si>
    <t>Use information to support surgeon selection.</t>
  </si>
  <si>
    <t>Review implant, safety, and clinical education materials.</t>
  </si>
  <si>
    <t>Register warranty and device information.</t>
  </si>
  <si>
    <t>Submit warranty questions or product concerns.</t>
  </si>
  <si>
    <t>Track warranty or support request status.</t>
  </si>
  <si>
    <t>Recommended Hierarchical Scorecard</t>
  </si>
  <si>
    <t>Role Level</t>
  </si>
  <si>
    <t>Weighting</t>
  </si>
  <si>
    <t>Agent Productivity</t>
  </si>
  <si>
    <t>Quality &amp; Accuracy</t>
  </si>
  <si>
    <t>Compliance &amp; Training</t>
  </si>
  <si>
    <t>Manager / Operations Scorecard</t>
  </si>
  <si>
    <t>Component</t>
  </si>
  <si>
    <t>Weight</t>
  </si>
  <si>
    <t>KPI Achievement</t>
  </si>
  <si>
    <t>Quality &amp; Compliance</t>
  </si>
  <si>
    <t>Productivity &amp; Cost</t>
  </si>
  <si>
    <t>Traceability View (Role → Business Objective)</t>
  </si>
  <si>
    <t>Primary Owner</t>
  </si>
  <si>
    <t>Supporting Roles</t>
  </si>
  <si>
    <t>Customer Service Agents</t>
  </si>
  <si>
    <t>Regulatory Compliance</t>
  </si>
  <si>
    <t>Warranty &amp; Complaint Teams</t>
  </si>
  <si>
    <t>Customer Service Back Office Agents</t>
  </si>
  <si>
    <t>Inventory Team Lead / Back Office Manager</t>
  </si>
  <si>
    <t>Inventory Agents</t>
  </si>
  <si>
    <t>All Managers &amp; QA</t>
  </si>
  <si>
    <t>Workforce Performance</t>
  </si>
  <si>
    <t>Contact Center Manager, Back Office Manager</t>
  </si>
  <si>
    <t>Reporting &amp; Governance</t>
  </si>
  <si>
    <r>
      <t xml:space="preserve">This structure can be directly converted into a </t>
    </r>
    <r>
      <rPr>
        <b/>
        <sz val="12"/>
        <color theme="1"/>
        <rFont val="Tenorite"/>
      </rPr>
      <t>RACI Matrix, Balanced Scorecard, Individual Performance Framework, Incentive Plan, Workforce Management Dashboard, and Governance KPI Catalogue</t>
    </r>
    <r>
      <rPr>
        <sz val="12"/>
        <color theme="1"/>
        <rFont val="Tenorite"/>
      </rPr>
      <t xml:space="preserve"> for the Mentor engagement</t>
    </r>
  </si>
  <si>
    <t>Mentor’s Personas and High-Level Needs</t>
  </si>
  <si>
    <t>Who they are</t>
  </si>
  <si>
    <t>Key B2B Journey</t>
  </si>
  <si>
    <t>Plastic Surgeon – Augmentation</t>
  </si>
  <si>
    <t>Physician using Mentor implants for cosmetic procedures</t>
  </si>
  <si>
    <t>Product discovery, sizing, ordering, inventory, clinical education, case support, returns/warranty</t>
  </si>
  <si>
    <t>Plastic/Reconstructive Surgeon</t>
  </si>
  <si>
    <t>Physician performing breast reconstruction</t>
  </si>
  <si>
    <t>Product selection, clinical evidence, sizing, ordering, case support, education</t>
  </si>
  <si>
    <t>Surgeon / Physician Office Manager</t>
  </si>
  <si>
    <t>Practice administrator managing Mentor relationship</t>
  </si>
  <si>
    <t>Account setup, ordering, pricing, inventory, invoices, returns, rep interaction</t>
  </si>
  <si>
    <t>Practice Procurement / Buyer</t>
  </si>
  <si>
    <t>Person responsible for purchasing implants and supplies</t>
  </si>
  <si>
    <t>Contracting, pricing, PO, inventory, delivery, compliance, vendor management</t>
  </si>
  <si>
    <t>Hospital Procurement / Supply Chain</t>
  </si>
  <si>
    <t>Manages product availability for operating rooms</t>
  </si>
  <si>
    <t>Inventory, replenishment, delivery, product availability, consignment/stock management</t>
  </si>
  <si>
    <t>Hospital OR / Materials Manager</t>
  </si>
  <si>
    <t>Supports surgeon and procedure</t>
  </si>
  <si>
    <t>Product information, case preparation, availability, product identification and support</t>
  </si>
  <si>
    <t>Distributor / Channel Partner</t>
  </si>
  <si>
    <t>Authorized distributor selling/distributing Mentor products</t>
  </si>
  <si>
    <t>Product availability, orders, inventory, pricing, account management, fulfillment</t>
  </si>
  <si>
    <t>N/A</t>
  </si>
  <si>
    <t>OR Nurse/Clinical Staff</t>
  </si>
  <si>
    <t>Distributor Sales Rep</t>
  </si>
  <si>
    <t>Represents Mentor products through channel</t>
  </si>
  <si>
    <t>Customer information, product availability, quotes/orders, surgeon engagement</t>
  </si>
  <si>
    <t>Mentor Sales Representative</t>
  </si>
  <si>
    <t>Primary field relationship owner</t>
  </si>
  <si>
    <t>Account management, opportunities, orders, product recommendations, samples, cases, customer issues</t>
  </si>
  <si>
    <t>Mentor Sales Manager</t>
  </si>
  <si>
    <t>Manages territories/reps</t>
  </si>
  <si>
    <t>Pipeline, account performance, customer activity, forecasting, escalations</t>
  </si>
  <si>
    <t>Mentor Customer Service Rep</t>
  </si>
  <si>
    <t>Handles B2B customer inquiries</t>
  </si>
  <si>
    <t>Account setup, orders, changes, status, returns, complaints, warranty</t>
  </si>
  <si>
    <t>Mentor Medical/Clinical Affairs</t>
  </si>
  <si>
    <t>Supports clinical and medical questions</t>
  </si>
  <si>
    <t>Medical information, clinical evidence, product questions, adverse events</t>
  </si>
  <si>
    <t>Mentor Marketing / Product Manager</t>
  </si>
  <si>
    <t>Drives product/market strategy</t>
  </si>
  <si>
    <t>Customer insights, segmentation, campaigns, product adoption</t>
  </si>
  <si>
    <t>Accounts Receivable / Finance</t>
  </si>
  <si>
    <t>Manages commercial financial relationship</t>
  </si>
  <si>
    <t>Invoicing, payments, credits, disputes, account status</t>
  </si>
  <si>
    <t>Customer Account Administrator</t>
  </si>
  <si>
    <t>Administrative contact at practice/hospital</t>
  </si>
  <si>
    <t>User access, account changes, billing, tax documentation</t>
  </si>
  <si>
    <t>Patient / Consumer</t>
  </si>
  <si>
    <t>Not technically B2B, but influences the B2B transaction</t>
  </si>
  <si>
    <t>Product education, surgeon selection, implant information, warranty</t>
  </si>
  <si>
    <t>Adjacent</t>
  </si>
  <si>
    <t>Mentor Operations / Supply Chain</t>
  </si>
  <si>
    <t>Fulfills customer demand</t>
  </si>
  <si>
    <t>Inventory, allocation, fulfillment, shipping, backorders</t>
  </si>
  <si>
    <t>Prioritized Mentor Direct B2B Journeys</t>
  </si>
  <si>
    <t>L1</t>
  </si>
  <si>
    <t>L2</t>
  </si>
  <si>
    <t>L3</t>
  </si>
  <si>
    <t>Representative L4 Processes</t>
  </si>
  <si>
    <t>H/M/L</t>
  </si>
  <si>
    <t>MVP</t>
  </si>
  <si>
    <t>Notes</t>
  </si>
  <si>
    <t>1. Customer &amp; Market Engagement</t>
  </si>
  <si>
    <t>Identify &amp; Engage Customer</t>
  </si>
  <si>
    <t>Identify Prospect</t>
  </si>
  <si>
    <t>Identify target customer; Segment customer; Assign sales coverage</t>
  </si>
  <si>
    <t>Customer segmentation and sales coverage will be done outside of MD</t>
  </si>
  <si>
    <t>Engage Customer</t>
  </si>
  <si>
    <t>Sales engagement; Product inquiry; Clinical education; Demo/request</t>
  </si>
  <si>
    <t>Qualify Customer</t>
  </si>
  <si>
    <t>Customer Qualification</t>
  </si>
  <si>
    <t>Determine customer type; Validate eligibility; Capture requirements</t>
  </si>
  <si>
    <t>2. Customer Onboarding &amp; Account Mgmt.</t>
  </si>
  <si>
    <t>Establish Customer</t>
  </si>
  <si>
    <t>Create Customer Account</t>
  </si>
  <si>
    <t>Capture legal entity; Capture credentials; Validate customer; Check duplicates</t>
  </si>
  <si>
    <t>Need a replacement for mentordirect.com/cis to capture new customer attributes and account creation requests</t>
  </si>
  <si>
    <t>Establish Financial Profile</t>
  </si>
  <si>
    <t>Tax status; W-9; Credit assessment; Payment terms</t>
  </si>
  <si>
    <t>Other than collecting the information, the system isn’t expected to perform any automated lookups</t>
  </si>
  <si>
    <t>Establish Account Structure</t>
  </si>
  <si>
    <t>Bill-to; Ship-to; Locations; Account hierarchy</t>
  </si>
  <si>
    <t>System won’t be expected to establish the structure, but will be required to support and display it</t>
  </si>
  <si>
    <t>Manage Customer</t>
  </si>
  <si>
    <t>Manage Customer Acct</t>
  </si>
  <si>
    <t>Update account; Contacts; Users; Permissions; Reactivation</t>
  </si>
  <si>
    <t>Administrative tools for CSRs to add/modify user details, user &amp; acct relationships, etc.</t>
  </si>
  <si>
    <t>Manage Customer Data</t>
  </si>
  <si>
    <t>Maintain master data; Resolve duplicates; Maintain relationships</t>
  </si>
  <si>
    <t>SAP and MDM will be source of truth, but MD must display and support relationships and display account details</t>
  </si>
  <si>
    <t>3. Product &amp; Commercial Mgmt.</t>
  </si>
  <si>
    <t>Product Mgmt.</t>
  </si>
  <si>
    <t>Product Discovery</t>
  </si>
  <si>
    <t>Search catalog; Product information; Clinical information</t>
  </si>
  <si>
    <t>Robust search capabilities, by keyword, SKU, etc.</t>
  </si>
  <si>
    <t>Sizers must be displayed next to their equivalent breast implant(s)</t>
  </si>
  <si>
    <t>Product Selection</t>
  </si>
  <si>
    <t>Identify need; Select product; Determine sizing/configuration</t>
  </si>
  <si>
    <t>Commercial Mgmt.</t>
  </si>
  <si>
    <t>Contract Management</t>
  </si>
  <si>
    <t>Consignment Contracts; contract amendments; initial order shipments &amp; par adjustments</t>
  </si>
  <si>
    <t>We will use one or combination of, SAP, ICS, or CCM for contract price mgmt., but we will need a solution for consignment contract mgmt. and the creation/submission of the initial consignment shipment</t>
  </si>
  <si>
    <t>Pricing Mgmt.</t>
  </si>
  <si>
    <t>Determine price; Apply discounts; Validate pricing</t>
  </si>
  <si>
    <t>Must accept and display pricing from upstream system</t>
  </si>
  <si>
    <t>Quote Mgmt.</t>
  </si>
  <si>
    <t>Create quote; Configure quote; Approve quote; Customer acceptance</t>
  </si>
  <si>
    <t>“nice to have” for future</t>
  </si>
  <si>
    <t>4. Order Mgmt.</t>
  </si>
  <si>
    <t>Create Order</t>
  </si>
  <si>
    <t>Capture Order</t>
  </si>
  <si>
    <t>Identify customer; Select product; Quantity; PO; Delivery requirements</t>
  </si>
  <si>
    <t>Capturing orders is a top priority for the platform</t>
  </si>
  <si>
    <t>Validate order completeness; Submit order; Generate confirmation</t>
  </si>
  <si>
    <t>Submitting orders and validating orders against business rules is a top priority for the platform</t>
  </si>
  <si>
    <t>Validate Order</t>
  </si>
  <si>
    <t>Customer Validation</t>
  </si>
  <si>
    <t>Account status; User authorization; Ship-to validation</t>
  </si>
  <si>
    <t>Must understand and display account status and enforce business rules as needed</t>
  </si>
  <si>
    <t>Commercial Validation</t>
  </si>
  <si>
    <t>Contract; Price; Discount; GPO</t>
  </si>
  <si>
    <t>Won’t act as “source of truth” but must ingest price and other discounts and display to end users as needed during checkout and order entry</t>
  </si>
  <si>
    <t>Financial Validation</t>
  </si>
  <si>
    <t>Credit; Terms; Account balance; Holds</t>
  </si>
  <si>
    <t>Availability Validation</t>
  </si>
  <si>
    <t>Inventory; ATP; Allocation; Alternatives</t>
  </si>
  <si>
    <t>Won’t act as “source of truth” but must ingest inventory information and display it to end users as needed</t>
  </si>
  <si>
    <t>Manage Order</t>
  </si>
  <si>
    <t>Order Exceptions</t>
  </si>
  <si>
    <t>Pricing issue;  PO issue; incorrect part numbers, watchlists</t>
  </si>
  <si>
    <t>Need an “Error Landing Page” to stop, review, and correct order errors before submitting to SAP, including EDI and Fax orders</t>
  </si>
  <si>
    <t>Modify; Cancel; Reschedule; Add/remove product</t>
  </si>
  <si>
    <t>Repeat Order</t>
  </si>
  <si>
    <t>Review history; Modify quantities and other order details</t>
  </si>
  <si>
    <t>5. Procedure &amp; Easy Order Mgmt.</t>
  </si>
  <si>
    <t>Plan Procedure</t>
  </si>
  <si>
    <t>Procedure Planning</t>
  </si>
  <si>
    <t>Procedure date; Location; Physician; Product requirements</t>
  </si>
  <si>
    <t>A full “Procedure Planning” suite is not something we’ve ever fully adopted into the current tool, although it has been discussed.  The ROI for adding this has been debated</t>
  </si>
  <si>
    <t>Create Easy Order</t>
  </si>
  <si>
    <t>Build Procedure Order</t>
  </si>
  <si>
    <t>Select products; Sizers; Quantities; Ship-to</t>
  </si>
  <si>
    <t>Submit Easy Order</t>
  </si>
  <si>
    <t>Validate; Submit; Confirm</t>
  </si>
  <si>
    <t>Manage Procedure</t>
  </si>
  <si>
    <t>Procedure Changes</t>
  </si>
  <si>
    <t>Change date; Modify products; Cancel</t>
  </si>
  <si>
    <t>Reconcile Usage</t>
  </si>
  <si>
    <t>Capture used products; Identify unused products; Determine return</t>
  </si>
  <si>
    <t>See “Post-procedure Support” on pg4</t>
  </si>
  <si>
    <t>Need to understand customer reporting requirements, including Order History</t>
  </si>
  <si>
    <t>6. Fulfillment &amp; Logistics</t>
  </si>
  <si>
    <t>Fulfill Order</t>
  </si>
  <si>
    <t>Allocate Inventory</t>
  </si>
  <si>
    <t>Reserve inventory; Allocate; Resolve shortage</t>
  </si>
  <si>
    <t>SAP S4 and the warehouse mgmt. system will manage these functions</t>
  </si>
  <si>
    <t>Pick &amp; Pack</t>
  </si>
  <si>
    <t>Generate fulfillment; Pick; Pack; Documentation</t>
  </si>
  <si>
    <t>Ship Order</t>
  </si>
  <si>
    <t>Shipment</t>
  </si>
  <si>
    <t>Carrier; Shipment; Tracking</t>
  </si>
  <si>
    <t>Monitor delivery; Confirm receipt; Delivery exception</t>
  </si>
  <si>
    <t>Tool must receive and display order tracking numbers, order status, and ship status</t>
  </si>
  <si>
    <t>7. Product &amp; Clinical Support</t>
  </si>
  <si>
    <t>Pre-Procedure Support</t>
  </si>
  <si>
    <t>Product Support</t>
  </si>
  <si>
    <t>Product questions; Product information; Clinical resources</t>
  </si>
  <si>
    <t>Procedure Support</t>
  </si>
  <si>
    <t>Clinical/Product Assistance</t>
  </si>
  <si>
    <t>Procedure support; Urgent assistance; Product issue</t>
  </si>
  <si>
    <t>Consignment bill &amp; replace; warranty registration; warranty claims; device tracking</t>
  </si>
  <si>
    <t>MD must support consignment bill &amp; replace ordering, warranty registration, warranty claims, and device tracking.  A single serial number-driven workflow should be developed to enhance UX</t>
  </si>
  <si>
    <t>8. Billing &amp; Payment</t>
  </si>
  <si>
    <t>Generate Invoice</t>
  </si>
  <si>
    <t>Determine billable products; Apply price; Generate invoice</t>
  </si>
  <si>
    <t>SAP will generate invoices</t>
  </si>
  <si>
    <t>Accounts Receivable</t>
  </si>
  <si>
    <t>Post invoice; Monitor balance; Aging</t>
  </si>
  <si>
    <t>MD must display invoices and acct balances</t>
  </si>
  <si>
    <t>Payment</t>
  </si>
  <si>
    <t>Receive; Apply; Reconcile</t>
  </si>
  <si>
    <t>Billing Resolution</t>
  </si>
  <si>
    <t>Resolve Billing Issue</t>
  </si>
  <si>
    <t>PO mismatch: Pricing discrepancy</t>
  </si>
  <si>
    <t>9. Returns &amp; Credits</t>
  </si>
  <si>
    <t>Return Window for credit</t>
  </si>
  <si>
    <t>We do not use RMAs.</t>
  </si>
  <si>
    <t>We need to display the return window by serial number, based on the customer’s COT</t>
  </si>
  <si>
    <t>Process Return</t>
  </si>
  <si>
    <t>Receive; Inspect; Disposition; Inventory update</t>
  </si>
  <si>
    <t>SAP S4 will serve as the source of truth for these functions</t>
  </si>
  <si>
    <t>Credit Management</t>
  </si>
  <si>
    <t>Issue Credit</t>
  </si>
  <si>
    <t>Notify customer</t>
  </si>
  <si>
    <t>Credits (along with invoices) must be displayed in MD for the customer to see and access; future state, the ability for customers to apply credits is highly desired</t>
  </si>
  <si>
    <t>10. Customer Service &amp; Case Management</t>
  </si>
  <si>
    <t>Customer Inquiry</t>
  </si>
  <si>
    <t>Manage Inquiry</t>
  </si>
  <si>
    <t>Capture; Identify customer; Research; Respond</t>
  </si>
  <si>
    <t>Resolve Order Issue</t>
  </si>
  <si>
    <t>Investigate; Coordinate: Resolve: Communicate</t>
  </si>
  <si>
    <t>“Nice to have for future”</t>
  </si>
  <si>
    <t>Resolve Product Issue</t>
  </si>
  <si>
    <t>Investigate; Escalate; Replace/return</t>
  </si>
  <si>
    <t>Internal tools to investigate order entry issues from portal</t>
  </si>
  <si>
    <t>Manage Complaint</t>
  </si>
  <si>
    <t>Capture; Categorize; Investigate; Escalate; Close</t>
  </si>
  <si>
    <t>11. Customer Relationship &amp; Growth</t>
  </si>
  <si>
    <t>Manage Account Relationship</t>
  </si>
  <si>
    <t>Account review; Customer needs; Sales activities</t>
  </si>
  <si>
    <t>NA</t>
  </si>
  <si>
    <t>Opportunity Management</t>
  </si>
  <si>
    <t>Identify Opportunity</t>
  </si>
  <si>
    <t>Analyze purchases; Whitespace; New products/procedures</t>
  </si>
  <si>
    <t>Retention</t>
  </si>
  <si>
    <t>Retain Customer</t>
  </si>
  <si>
    <t>Satisfaction; Risk; Issue resolution; Retention action</t>
  </si>
  <si>
    <t>12. Customer Data, Insights &amp; Governance</t>
  </si>
  <si>
    <t>Customer Data</t>
  </si>
  <si>
    <t>Manage Master Data</t>
  </si>
  <si>
    <t>Create; Update; Deduplicate; Hierarchy</t>
  </si>
  <si>
    <t>Manage Customer Insight</t>
  </si>
  <si>
    <t>Consolidate account; Orders; Financials; Service history</t>
  </si>
  <si>
    <t>Business Reporting</t>
  </si>
  <si>
    <t>Sales; Orders; Service; Revenue; Customer analytics</t>
  </si>
  <si>
    <t>Assessment and VOC needed to understand customer reporting needs (Billed Products, Returned Products, Order History, Payment History, etc.)</t>
  </si>
  <si>
    <t>Compliance &amp; Audit</t>
  </si>
  <si>
    <t>Access; Traceability; Records; Audit support</t>
  </si>
  <si>
    <t>SAP is system of record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</si>
</sst>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 mmm\ yyyy"/>
    <numFmt numFmtId="165" formatCode="0.0%"/>
    <numFmt numFmtId="166" formatCode="dd/mmm/yyyy"/>
  </numFmts>
  <fonts count="72">
    <font>
      <sz val="11"/>
      <color theme="1"/>
      <name val="Aptos Narrow"/>
      <family val="2"/>
      <scheme val="minor"/>
    </font>
    <font>
      <b/>
      <sz val="11"/>
      <color theme="1"/>
      <name val="Aptos Narrow"/>
      <family val="2"/>
      <scheme val="minor"/>
    </font>
    <font>
      <sz val="12"/>
      <color theme="1"/>
      <name val="Tenorite"/>
    </font>
    <font>
      <b/>
      <sz val="12"/>
      <color theme="1"/>
      <name val="Tenorite"/>
    </font>
    <font>
      <i/>
      <sz val="12"/>
      <color theme="1"/>
      <name val="Tenorite"/>
    </font>
    <font>
      <u/>
      <sz val="11"/>
      <color theme="10"/>
      <name val="Aptos Narrow"/>
      <family val="2"/>
      <scheme val="minor"/>
    </font>
    <font>
      <sz val="8"/>
      <color theme="1"/>
      <name val="Tenorite"/>
    </font>
    <font>
      <b/>
      <sz val="8"/>
      <color theme="1"/>
      <name val="Tenorite"/>
    </font>
    <font>
      <u/>
      <sz val="8"/>
      <color theme="10"/>
      <name val="Tenorite"/>
    </font>
    <font>
      <u/>
      <sz val="12"/>
      <color theme="10"/>
      <name val="Tenorite"/>
    </font>
    <font>
      <sz val="12"/>
      <color theme="10"/>
      <name val="Tenorite"/>
    </font>
    <font>
      <b/>
      <sz val="11"/>
      <color rgb="FFFFFFFF"/>
      <name val="Aptos Narrow"/>
      <family val="2"/>
      <scheme val="minor"/>
    </font>
    <font>
      <b/>
      <sz val="20"/>
      <color rgb="FFFFFFFF"/>
      <name val="Aptos Narrow"/>
      <family val="2"/>
      <scheme val="minor"/>
    </font>
    <font>
      <i/>
      <sz val="11"/>
      <color rgb="FF666666"/>
      <name val="Aptos Narrow"/>
      <family val="2"/>
      <scheme val="minor"/>
    </font>
    <font>
      <i/>
      <sz val="10"/>
      <color rgb="FF666666"/>
      <name val="Aptos Narrow"/>
      <family val="2"/>
      <scheme val="minor"/>
    </font>
    <font>
      <sz val="10"/>
      <color theme="1"/>
      <name val="Aptos Narrow"/>
      <family val="2"/>
      <scheme val="minor"/>
    </font>
    <font>
      <sz val="11"/>
      <color rgb="FF243447"/>
      <name val="Aptos Narrow"/>
      <family val="2"/>
      <scheme val="minor"/>
    </font>
    <font>
      <b/>
      <sz val="10"/>
      <color theme="1"/>
      <name val="Aptos Narrow"/>
      <family val="2"/>
      <scheme val="minor"/>
    </font>
    <font>
      <b/>
      <sz val="10"/>
      <color rgb="FF2F75B5"/>
      <name val="Aptos Narrow"/>
      <family val="2"/>
      <scheme val="minor"/>
    </font>
    <font>
      <b/>
      <sz val="10"/>
      <color rgb="FF2E7D32"/>
      <name val="Aptos Narrow"/>
      <family val="2"/>
      <scheme val="minor"/>
    </font>
    <font>
      <b/>
      <sz val="10"/>
      <color rgb="FFC00000"/>
      <name val="Aptos Narrow"/>
      <family val="2"/>
      <scheme val="minor"/>
    </font>
    <font>
      <b/>
      <sz val="11"/>
      <color rgb="FF243447"/>
      <name val="Aptos Narrow"/>
      <family val="2"/>
      <scheme val="minor"/>
    </font>
    <font>
      <i/>
      <sz val="11"/>
      <color rgb="FF243447"/>
      <name val="Aptos Narrow"/>
      <family val="2"/>
      <scheme val="minor"/>
    </font>
    <font>
      <sz val="9"/>
      <color theme="1"/>
      <name val="Aptos Narrow"/>
      <family val="2"/>
      <scheme val="minor"/>
    </font>
    <font>
      <b/>
      <sz val="9"/>
      <color theme="1"/>
      <name val="Aptos Narrow"/>
      <family val="2"/>
      <scheme val="minor"/>
    </font>
    <font>
      <i/>
      <sz val="9"/>
      <color rgb="FF666666"/>
      <name val="Aptos Narrow"/>
      <family val="2"/>
      <scheme val="minor"/>
    </font>
    <font>
      <sz val="7"/>
      <color theme="1"/>
      <name val="Segoe UI"/>
      <family val="2"/>
    </font>
    <font>
      <b/>
      <sz val="11"/>
      <color theme="1"/>
      <name val="Segoe UI"/>
      <family val="2"/>
    </font>
    <font>
      <sz val="11"/>
      <color theme="1"/>
      <name val="Segoe UI"/>
      <family val="2"/>
    </font>
    <font>
      <sz val="11"/>
      <color rgb="FF464FEB"/>
      <name val="Segoe UI"/>
      <family val="2"/>
    </font>
    <font>
      <sz val="8"/>
      <color theme="1"/>
      <name val="Segoe UI"/>
      <family val="2"/>
    </font>
    <font>
      <u/>
      <sz val="8"/>
      <color theme="10"/>
      <name val="Aptos Narrow"/>
      <family val="2"/>
      <scheme val="minor"/>
    </font>
    <font>
      <b/>
      <sz val="12"/>
      <color rgb="FFFFFFFF"/>
      <name val="Aptos Narrow"/>
      <family val="2"/>
      <scheme val="minor"/>
    </font>
    <font>
      <b/>
      <sz val="12"/>
      <color rgb="FFFFFFFF"/>
      <name val="Tenorite"/>
    </font>
    <font>
      <sz val="9"/>
      <color theme="1"/>
      <name val="Tenorite"/>
    </font>
    <font>
      <b/>
      <sz val="9"/>
      <color theme="1"/>
      <name val="Tenorite"/>
    </font>
    <font>
      <b/>
      <sz val="9"/>
      <color rgb="FF2E7D32"/>
      <name val="Aptos Narrow"/>
      <family val="2"/>
      <scheme val="minor"/>
    </font>
    <font>
      <b/>
      <sz val="18"/>
      <color rgb="FFFFFFFF"/>
      <name val="Aptos Narrow"/>
      <family val="2"/>
      <scheme val="minor"/>
    </font>
    <font>
      <sz val="11"/>
      <color rgb="FF7F6000"/>
      <name val="Aptos Narrow"/>
      <family val="2"/>
      <scheme val="minor"/>
    </font>
    <font>
      <b/>
      <sz val="11"/>
      <color rgb="FF17365D"/>
      <name val="Aptos Narrow"/>
      <family val="2"/>
      <scheme val="minor"/>
    </font>
    <font>
      <b/>
      <sz val="11"/>
      <color rgb="FF385723"/>
      <name val="Aptos Narrow"/>
      <family val="2"/>
      <scheme val="minor"/>
    </font>
    <font>
      <b/>
      <sz val="16"/>
      <color rgb="FF17365D"/>
      <name val="Aptos Narrow"/>
      <family val="2"/>
      <scheme val="minor"/>
    </font>
    <font>
      <b/>
      <sz val="11"/>
      <color rgb="FF7F6000"/>
      <name val="Aptos Narrow"/>
      <family val="2"/>
      <scheme val="minor"/>
    </font>
    <font>
      <sz val="11"/>
      <color rgb="FF444444"/>
      <name val="Aptos Narrow"/>
      <family val="2"/>
      <scheme val="minor"/>
    </font>
    <font>
      <b/>
      <sz val="13.5"/>
      <color theme="1"/>
      <name val="Segoe UI"/>
      <family val="2"/>
    </font>
    <font>
      <b/>
      <sz val="7"/>
      <color theme="1"/>
      <name val="Segoe UI"/>
      <family val="2"/>
    </font>
    <font>
      <sz val="7"/>
      <color rgb="FF464FEB"/>
      <name val="Segoe UI"/>
      <family val="2"/>
    </font>
    <font>
      <u/>
      <sz val="10"/>
      <color theme="10"/>
      <name val="Tenorite"/>
    </font>
    <font>
      <sz val="10"/>
      <color theme="1"/>
      <name val="Tenorite"/>
    </font>
    <font>
      <b/>
      <sz val="10"/>
      <color rgb="FFFFFFFF"/>
      <name val="Tenorite"/>
    </font>
    <font>
      <b/>
      <i/>
      <sz val="10"/>
      <color rgb="FF666666"/>
      <name val="Tenorite"/>
    </font>
    <font>
      <i/>
      <sz val="10"/>
      <color rgb="FF666666"/>
      <name val="Tenorite"/>
    </font>
    <font>
      <b/>
      <sz val="10"/>
      <color theme="1"/>
      <name val="Tenorite"/>
    </font>
    <font>
      <sz val="9"/>
      <color theme="1"/>
      <name val="Consolas"/>
      <family val="3"/>
    </font>
    <font>
      <b/>
      <u/>
      <sz val="9"/>
      <color rgb="FF2F75B5"/>
      <name val="Aptos Narrow"/>
      <family val="2"/>
      <scheme val="minor"/>
    </font>
    <font>
      <sz val="8"/>
      <name val="Aptos Narrow"/>
      <family val="2"/>
      <scheme val="minor"/>
    </font>
    <font>
      <i/>
      <u/>
      <sz val="9"/>
      <color rgb="FF2F75B5"/>
      <name val="Aptos Narrow"/>
      <family val="2"/>
      <scheme val="minor"/>
    </font>
    <font>
      <sz val="10"/>
      <color rgb="FFFF0000"/>
      <name val="Tenorite"/>
    </font>
    <font>
      <b/>
      <sz val="10"/>
      <color rgb="FF000000"/>
      <name val="Tenorite"/>
    </font>
    <font>
      <b/>
      <sz val="10"/>
      <color rgb="FF171717"/>
      <name val="Tenorite"/>
    </font>
    <font>
      <sz val="10"/>
      <color rgb="FFFFFFFF"/>
      <name val="Tenorite"/>
    </font>
    <font>
      <sz val="10"/>
      <color rgb="FF000000"/>
      <name val="Tenorite"/>
    </font>
    <font>
      <b/>
      <u/>
      <sz val="10"/>
      <color rgb="FF000000"/>
      <name val="Tenorite"/>
    </font>
    <font>
      <b/>
      <shadow/>
      <sz val="10"/>
      <color rgb="FFFFFFFF"/>
      <name val="Tenorite"/>
    </font>
    <font>
      <sz val="10"/>
      <name val="Tenorite"/>
    </font>
    <font>
      <shadow/>
      <sz val="10"/>
      <color rgb="FFFFFFFF"/>
      <name val="Tenorite"/>
    </font>
    <font>
      <u/>
      <sz val="10"/>
      <color rgb="FF000000"/>
      <name val="Tenorite"/>
    </font>
    <font>
      <sz val="10"/>
      <color rgb="FFEB1700"/>
      <name val="Tenorite"/>
    </font>
    <font>
      <sz val="10"/>
      <color rgb="FF7F7F7F"/>
      <name val="Tenorite"/>
    </font>
    <font>
      <sz val="11"/>
      <color rgb="FF333333"/>
      <name val="Aptos Narrow"/>
      <family val="2"/>
      <scheme val="minor"/>
    </font>
    <font>
      <b/>
      <sz val="11"/>
      <color rgb="FFC00000"/>
      <name val="Aptos Narrow"/>
      <family val="2"/>
      <scheme val="minor"/>
    </font>
    <font>
      <b/>
      <sz val="11"/>
      <color rgb="FF9C6500"/>
      <name val="Aptos Narrow"/>
      <family val="2"/>
      <scheme val="minor"/>
    </font>
  </fonts>
  <fills count="29">
    <fill>
      <patternFill patternType="none"/>
    </fill>
    <fill>
      <patternFill patternType="gray125"/>
    </fill>
    <fill>
      <patternFill patternType="solid">
        <fgColor rgb="FFF5F5F5"/>
        <bgColor indexed="64"/>
      </patternFill>
    </fill>
    <fill>
      <patternFill patternType="solid">
        <fgColor rgb="FF00B0F0"/>
        <bgColor indexed="64"/>
      </patternFill>
    </fill>
    <fill>
      <patternFill patternType="solid">
        <fgColor theme="8" tint="0.79998168889431442"/>
        <bgColor indexed="64"/>
      </patternFill>
    </fill>
    <fill>
      <patternFill patternType="solid">
        <fgColor theme="1"/>
        <bgColor indexed="64"/>
      </patternFill>
    </fill>
    <fill>
      <patternFill patternType="solid">
        <fgColor rgb="FF17365D"/>
        <bgColor indexed="64"/>
      </patternFill>
    </fill>
    <fill>
      <patternFill patternType="solid">
        <fgColor rgb="FF2F75B5"/>
        <bgColor indexed="64"/>
      </patternFill>
    </fill>
    <fill>
      <patternFill patternType="solid">
        <fgColor rgb="FF243447"/>
        <bgColor indexed="64"/>
      </patternFill>
    </fill>
    <fill>
      <patternFill patternType="solid">
        <fgColor rgb="FFEAF2F8"/>
        <bgColor indexed="64"/>
      </patternFill>
    </fill>
    <fill>
      <patternFill patternType="solid">
        <fgColor rgb="FFD9EAF7"/>
        <bgColor indexed="64"/>
      </patternFill>
    </fill>
    <fill>
      <patternFill patternType="solid">
        <fgColor rgb="FFDDEBF7"/>
        <bgColor indexed="64"/>
      </patternFill>
    </fill>
    <fill>
      <patternFill patternType="solid">
        <fgColor rgb="FFE2F0D9"/>
        <bgColor indexed="64"/>
      </patternFill>
    </fill>
    <fill>
      <patternFill patternType="solid">
        <fgColor rgb="FFFFF2CC"/>
        <bgColor indexed="64"/>
      </patternFill>
    </fill>
    <fill>
      <patternFill patternType="solid">
        <fgColor rgb="FFFCE4D6"/>
        <bgColor indexed="64"/>
      </patternFill>
    </fill>
    <fill>
      <patternFill patternType="solid">
        <fgColor rgb="FFE4DFEC"/>
        <bgColor indexed="64"/>
      </patternFill>
    </fill>
    <fill>
      <patternFill patternType="solid">
        <fgColor rgb="FFF7F9FB"/>
        <bgColor indexed="64"/>
      </patternFill>
    </fill>
    <fill>
      <patternFill patternType="solid">
        <fgColor rgb="FFF3F6F9"/>
        <bgColor indexed="64"/>
      </patternFill>
    </fill>
    <fill>
      <patternFill patternType="solid">
        <fgColor rgb="FFF4F7FA"/>
        <bgColor indexed="64"/>
      </patternFill>
    </fill>
    <fill>
      <patternFill patternType="solid">
        <fgColor rgb="FFFF0000"/>
        <bgColor indexed="64"/>
      </patternFill>
    </fill>
    <fill>
      <patternFill patternType="solid">
        <fgColor rgb="FFFFFFFF"/>
        <bgColor indexed="64"/>
      </patternFill>
    </fill>
    <fill>
      <patternFill patternType="solid">
        <fgColor rgb="FFCACCD4"/>
        <bgColor indexed="64"/>
      </patternFill>
    </fill>
    <fill>
      <patternFill patternType="solid">
        <fgColor rgb="FFE6E7EB"/>
        <bgColor indexed="64"/>
      </patternFill>
    </fill>
    <fill>
      <patternFill patternType="solid">
        <fgColor rgb="FFC70F2D"/>
        <bgColor indexed="64"/>
      </patternFill>
    </fill>
    <fill>
      <patternFill patternType="solid">
        <fgColor rgb="FF002060"/>
        <bgColor indexed="64"/>
      </patternFill>
    </fill>
    <fill>
      <patternFill patternType="solid">
        <fgColor rgb="FFFBEBE8"/>
        <bgColor indexed="64"/>
      </patternFill>
    </fill>
    <fill>
      <patternFill patternType="solid">
        <fgColor rgb="FFE8E8E8"/>
        <bgColor indexed="64"/>
      </patternFill>
    </fill>
    <fill>
      <patternFill patternType="solid">
        <fgColor rgb="FFCCD2D8"/>
        <bgColor indexed="64"/>
      </patternFill>
    </fill>
    <fill>
      <patternFill patternType="solid">
        <fgColor rgb="FFE7EAED"/>
        <bgColor indexed="64"/>
      </patternFill>
    </fill>
  </fills>
  <borders count="24">
    <border>
      <left/>
      <right/>
      <top/>
      <bottom/>
      <diagonal/>
    </border>
    <border>
      <left style="medium">
        <color rgb="FFE6E6E6"/>
      </left>
      <right style="medium">
        <color rgb="FFE6E6E6"/>
      </right>
      <top style="medium">
        <color rgb="FFE6E6E6"/>
      </top>
      <bottom style="medium">
        <color rgb="FFE6E6E6"/>
      </bottom>
      <diagonal/>
    </border>
    <border>
      <left style="thin">
        <color auto="1"/>
      </left>
      <right style="thin">
        <color auto="1"/>
      </right>
      <top style="thin">
        <color auto="1"/>
      </top>
      <bottom style="thin">
        <color auto="1"/>
      </bottom>
      <diagonal/>
    </border>
    <border>
      <left style="thin">
        <color rgb="FFD9E2F3"/>
      </left>
      <right style="thin">
        <color rgb="FFD9E2F3"/>
      </right>
      <top style="thin">
        <color rgb="FFD9E2F3"/>
      </top>
      <bottom style="thin">
        <color rgb="FFD9E2F3"/>
      </bottom>
      <diagonal/>
    </border>
    <border>
      <left style="thin">
        <color rgb="FFD9E2F3"/>
      </left>
      <right style="thin">
        <color rgb="FFD9E2F3"/>
      </right>
      <top style="thin">
        <color rgb="FFD9E2F3"/>
      </top>
      <bottom/>
      <diagonal/>
    </border>
    <border>
      <left style="thin">
        <color rgb="FFB7C9D6"/>
      </left>
      <right style="thin">
        <color rgb="FFB7C9D6"/>
      </right>
      <top style="thin">
        <color rgb="FFB7C9D6"/>
      </top>
      <bottom style="thin">
        <color rgb="FFB7C9D6"/>
      </bottom>
      <diagonal/>
    </border>
    <border>
      <left style="medium">
        <color rgb="FFE6E6E6"/>
      </left>
      <right style="medium">
        <color rgb="FFE6E6E6"/>
      </right>
      <top style="medium">
        <color rgb="FFE6E6E6"/>
      </top>
      <bottom/>
      <diagonal/>
    </border>
    <border>
      <left style="medium">
        <color rgb="FFE6E6E6"/>
      </left>
      <right style="medium">
        <color rgb="FFE6E6E6"/>
      </right>
      <top style="medium">
        <color rgb="FF17365D"/>
      </top>
      <bottom style="medium">
        <color rgb="FFE6E6E6"/>
      </bottom>
      <diagonal/>
    </border>
    <border>
      <left style="medium">
        <color rgb="FFE6E6E6"/>
      </left>
      <right style="medium">
        <color rgb="FFE6E6E6"/>
      </right>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FFFFFF"/>
      </left>
      <right style="medium">
        <color rgb="FFFFFFFF"/>
      </right>
      <top style="medium">
        <color rgb="FFFFFFFF"/>
      </top>
      <bottom style="thick">
        <color rgb="FFFFFFFF"/>
      </bottom>
      <diagonal/>
    </border>
    <border>
      <left style="medium">
        <color rgb="FFFFFFFF"/>
      </left>
      <right style="medium">
        <color rgb="FFFFFFFF"/>
      </right>
      <top style="thick">
        <color rgb="FFFFFFFF"/>
      </top>
      <bottom style="medium">
        <color rgb="FFFFFFFF"/>
      </bottom>
      <diagonal/>
    </border>
    <border>
      <left style="medium">
        <color rgb="FFFFFFFF"/>
      </left>
      <right style="medium">
        <color rgb="FFFFFFFF"/>
      </right>
      <top style="medium">
        <color rgb="FFFFFFFF"/>
      </top>
      <bottom style="medium">
        <color rgb="FFFFFFFF"/>
      </bottom>
      <diagonal/>
    </border>
    <border>
      <left style="medium">
        <color rgb="FFFFFFFF"/>
      </left>
      <right style="medium">
        <color rgb="FFFFFFFF"/>
      </right>
      <top style="medium">
        <color rgb="FFFFFFFF"/>
      </top>
      <bottom/>
      <diagonal/>
    </border>
    <border>
      <left style="medium">
        <color rgb="FFFFFFFF"/>
      </left>
      <right style="medium">
        <color rgb="FFFFFFFF"/>
      </right>
      <top/>
      <bottom/>
      <diagonal/>
    </border>
    <border>
      <left style="medium">
        <color rgb="FFFFFFFF"/>
      </left>
      <right style="medium">
        <color rgb="FFFFFFFF"/>
      </right>
      <top/>
      <bottom style="medium">
        <color rgb="FFFFFFFF"/>
      </bottom>
      <diagonal/>
    </border>
    <border>
      <left style="medium">
        <color rgb="FFFF0000"/>
      </left>
      <right style="medium">
        <color rgb="FFFF0000"/>
      </right>
      <top style="medium">
        <color rgb="FFFF0000"/>
      </top>
      <bottom style="medium">
        <color rgb="FFFF0000"/>
      </bottom>
      <diagonal/>
    </border>
    <border>
      <left style="medium">
        <color rgb="FFFFFFFF"/>
      </left>
      <right style="medium">
        <color rgb="FFFFFFFF"/>
      </right>
      <top style="thick">
        <color rgb="FFFFFFFF"/>
      </top>
      <bottom/>
      <diagonal/>
    </border>
    <border>
      <left/>
      <right/>
      <top/>
      <bottom style="thin">
        <color auto="1"/>
      </bottom>
      <diagonal/>
    </border>
    <border>
      <left/>
      <right/>
      <top style="thin">
        <color auto="1"/>
      </top>
      <bottom style="thin">
        <color auto="1"/>
      </bottom>
      <diagonal/>
    </border>
    <border>
      <left/>
      <right/>
      <top style="thin">
        <color auto="1"/>
      </top>
      <bottom/>
      <diagonal/>
    </border>
  </borders>
  <cellStyleXfs count="2">
    <xf numFmtId="0" fontId="0" fillId="0" borderId="0"/>
    <xf numFmtId="0" fontId="5" fillId="0" borderId="0" applyNumberFormat="0" applyFill="0" applyBorder="0" applyAlignment="0" applyProtection="0"/>
  </cellStyleXfs>
  <cellXfs count="364">
    <xf numFmtId="0" fontId="0" fillId="0" borderId="0" xfId="0"/>
    <xf numFmtId="0" fontId="2" fillId="0" borderId="0" xfId="0" applyFont="1" applyAlignment="1">
      <alignment vertical="center"/>
    </xf>
    <xf numFmtId="0" fontId="2" fillId="0" borderId="0" xfId="0" applyFont="1"/>
    <xf numFmtId="0" fontId="3" fillId="0" borderId="0" xfId="0" applyFont="1" applyAlignment="1">
      <alignment vertical="center"/>
    </xf>
    <xf numFmtId="0" fontId="3" fillId="2" borderId="1" xfId="0" applyFont="1" applyFill="1" applyBorder="1" applyAlignment="1">
      <alignment horizontal="center" vertical="center"/>
    </xf>
    <xf numFmtId="0" fontId="2" fillId="0" borderId="1" xfId="0" applyFont="1" applyBorder="1" applyAlignment="1">
      <alignment vertical="center"/>
    </xf>
    <xf numFmtId="0" fontId="3" fillId="3" borderId="0" xfId="0" applyFont="1" applyFill="1" applyAlignment="1">
      <alignment vertical="center"/>
    </xf>
    <xf numFmtId="0" fontId="3" fillId="3" borderId="1" xfId="0" applyFont="1" applyFill="1" applyBorder="1" applyAlignment="1">
      <alignment horizontal="center" vertical="center"/>
    </xf>
    <xf numFmtId="0" fontId="3" fillId="3" borderId="1" xfId="0" applyFont="1" applyFill="1" applyBorder="1" applyAlignment="1">
      <alignment horizontal="left" vertical="center"/>
    </xf>
    <xf numFmtId="0" fontId="0" fillId="3" borderId="0" xfId="0" applyFill="1"/>
    <xf numFmtId="0" fontId="2" fillId="3" borderId="1" xfId="0" applyFont="1" applyFill="1" applyBorder="1" applyAlignment="1">
      <alignment vertical="center"/>
    </xf>
    <xf numFmtId="0" fontId="3" fillId="4" borderId="0" xfId="0" applyFont="1" applyFill="1" applyAlignment="1">
      <alignment vertical="center"/>
    </xf>
    <xf numFmtId="0" fontId="3" fillId="4" borderId="1" xfId="0" applyFont="1" applyFill="1" applyBorder="1" applyAlignment="1">
      <alignment horizontal="center" vertical="center"/>
    </xf>
    <xf numFmtId="0" fontId="2" fillId="4" borderId="0" xfId="0" applyFont="1" applyFill="1"/>
    <xf numFmtId="0" fontId="2" fillId="4" borderId="1" xfId="0" applyFont="1" applyFill="1" applyBorder="1" applyAlignment="1">
      <alignment vertical="center"/>
    </xf>
    <xf numFmtId="0" fontId="2" fillId="0" borderId="1" xfId="0" applyFont="1" applyBorder="1" applyAlignment="1">
      <alignment horizontal="left" vertical="center"/>
    </xf>
    <xf numFmtId="9" fontId="2" fillId="0" borderId="1" xfId="0" applyNumberFormat="1" applyFont="1" applyBorder="1" applyAlignment="1">
      <alignment horizontal="left" vertical="center"/>
    </xf>
    <xf numFmtId="0" fontId="2" fillId="0" borderId="0" xfId="0" applyFont="1" applyAlignment="1">
      <alignment horizontal="left" vertical="center"/>
    </xf>
    <xf numFmtId="0" fontId="2" fillId="0" borderId="0" xfId="0" applyFont="1" applyAlignment="1">
      <alignment horizontal="left" vertical="center" indent="1"/>
    </xf>
    <xf numFmtId="9" fontId="2" fillId="0" borderId="1" xfId="0" applyNumberFormat="1" applyFont="1" applyBorder="1" applyAlignment="1">
      <alignment vertical="center"/>
    </xf>
    <xf numFmtId="0" fontId="2" fillId="3" borderId="0" xfId="0" applyFont="1" applyFill="1"/>
    <xf numFmtId="0" fontId="4" fillId="0" borderId="0" xfId="0" applyFont="1" applyAlignment="1">
      <alignment vertical="center"/>
    </xf>
    <xf numFmtId="0" fontId="1" fillId="3" borderId="0" xfId="0" applyFont="1" applyFill="1"/>
    <xf numFmtId="0" fontId="3" fillId="3" borderId="0" xfId="0" applyFont="1" applyFill="1"/>
    <xf numFmtId="0" fontId="0" fillId="3" borderId="0" xfId="0" applyFill="1" applyAlignment="1">
      <alignment horizontal="left"/>
    </xf>
    <xf numFmtId="0" fontId="2" fillId="0" borderId="1" xfId="0" applyFont="1" applyBorder="1" applyAlignment="1">
      <alignment horizontal="center" vertical="center"/>
    </xf>
    <xf numFmtId="0" fontId="3" fillId="0" borderId="0" xfId="0" applyFont="1" applyAlignment="1">
      <alignment horizontal="left" vertical="center"/>
    </xf>
    <xf numFmtId="0" fontId="2" fillId="0" borderId="0" xfId="0" applyFont="1" applyAlignment="1">
      <alignment horizontal="left"/>
    </xf>
    <xf numFmtId="0" fontId="3" fillId="3" borderId="0" xfId="0" applyFont="1" applyFill="1" applyAlignment="1">
      <alignment horizontal="left" vertical="center"/>
    </xf>
    <xf numFmtId="0" fontId="2" fillId="3" borderId="0" xfId="0" applyFont="1" applyFill="1" applyAlignment="1">
      <alignment horizontal="left"/>
    </xf>
    <xf numFmtId="0" fontId="6" fillId="0" borderId="0" xfId="0" applyFont="1" applyAlignment="1">
      <alignment wrapText="1"/>
    </xf>
    <xf numFmtId="0" fontId="6" fillId="0" borderId="0" xfId="0" applyFont="1" applyAlignment="1">
      <alignment vertical="center" wrapText="1"/>
    </xf>
    <xf numFmtId="0" fontId="6" fillId="0" borderId="0" xfId="0" applyFont="1"/>
    <xf numFmtId="0" fontId="8" fillId="0" borderId="0" xfId="1" applyFont="1" applyAlignment="1">
      <alignment vertical="center"/>
    </xf>
    <xf numFmtId="0" fontId="7" fillId="0" borderId="0" xfId="0" applyFont="1" applyAlignment="1">
      <alignment vertical="center" wrapText="1"/>
    </xf>
    <xf numFmtId="0" fontId="6" fillId="3" borderId="0" xfId="0" applyFont="1" applyFill="1" applyAlignment="1">
      <alignment vertical="center" wrapText="1"/>
    </xf>
    <xf numFmtId="0" fontId="6" fillId="3" borderId="0" xfId="0" applyFont="1" applyFill="1" applyAlignment="1">
      <alignment wrapText="1"/>
    </xf>
    <xf numFmtId="0" fontId="6" fillId="0" borderId="0" xfId="0" applyFont="1" applyAlignment="1">
      <alignment horizontal="left" vertical="center" wrapText="1"/>
    </xf>
    <xf numFmtId="0" fontId="7" fillId="2" borderId="1" xfId="0" applyFont="1" applyFill="1" applyBorder="1" applyAlignment="1">
      <alignment horizontal="center" vertical="center" wrapText="1"/>
    </xf>
    <xf numFmtId="0" fontId="6" fillId="0" borderId="1" xfId="0" applyFont="1" applyBorder="1" applyAlignment="1">
      <alignment vertical="center" wrapText="1"/>
    </xf>
    <xf numFmtId="0" fontId="6" fillId="5" borderId="0" xfId="0" applyFont="1" applyFill="1" applyAlignment="1">
      <alignment wrapText="1"/>
    </xf>
    <xf numFmtId="0" fontId="6" fillId="5" borderId="0" xfId="0" applyFont="1" applyFill="1" applyAlignment="1">
      <alignment vertical="center" wrapText="1"/>
    </xf>
    <xf numFmtId="0" fontId="8" fillId="0" borderId="0" xfId="1" applyFont="1" applyAlignment="1">
      <alignment vertical="center" wrapText="1"/>
    </xf>
    <xf numFmtId="0" fontId="7" fillId="0" borderId="0" xfId="0" applyFont="1" applyAlignment="1">
      <alignment vertical="center"/>
    </xf>
    <xf numFmtId="0" fontId="9" fillId="0" borderId="0" xfId="1" applyFont="1" applyAlignment="1">
      <alignment vertical="center"/>
    </xf>
    <xf numFmtId="0" fontId="7" fillId="3" borderId="1" xfId="0" applyFont="1" applyFill="1" applyBorder="1" applyAlignment="1">
      <alignment horizontal="center" vertical="center" wrapText="1"/>
    </xf>
    <xf numFmtId="0" fontId="3" fillId="0" borderId="0" xfId="0" applyFont="1"/>
    <xf numFmtId="0" fontId="3" fillId="0" borderId="0" xfId="0" applyFont="1" applyAlignment="1">
      <alignment vertical="center" wrapText="1"/>
    </xf>
    <xf numFmtId="0" fontId="2" fillId="0" borderId="0" xfId="0" applyFont="1" applyAlignment="1">
      <alignment wrapText="1"/>
    </xf>
    <xf numFmtId="0" fontId="2" fillId="0" borderId="0" xfId="0" applyFont="1" applyAlignment="1">
      <alignment vertical="center" wrapText="1"/>
    </xf>
    <xf numFmtId="0" fontId="3" fillId="3" borderId="2" xfId="0" applyFont="1" applyFill="1" applyBorder="1" applyAlignment="1">
      <alignment horizontal="center" vertical="center" wrapText="1"/>
    </xf>
    <xf numFmtId="0" fontId="2" fillId="0" borderId="2" xfId="0" applyFont="1" applyBorder="1" applyAlignment="1">
      <alignment vertical="center" wrapText="1"/>
    </xf>
    <xf numFmtId="0" fontId="10" fillId="0" borderId="2" xfId="1" applyFont="1" applyBorder="1" applyAlignment="1">
      <alignment vertical="center" wrapText="1"/>
    </xf>
    <xf numFmtId="0" fontId="3" fillId="3" borderId="1" xfId="0" applyFont="1" applyFill="1" applyBorder="1" applyAlignment="1">
      <alignment horizontal="center" vertical="center" wrapText="1"/>
    </xf>
    <xf numFmtId="0" fontId="2" fillId="0" borderId="1" xfId="0" applyFont="1" applyBorder="1" applyAlignment="1">
      <alignment vertical="center" wrapText="1"/>
    </xf>
    <xf numFmtId="0" fontId="3" fillId="3" borderId="0" xfId="0" applyFont="1" applyFill="1" applyAlignment="1">
      <alignment vertical="center" wrapText="1"/>
    </xf>
    <xf numFmtId="0" fontId="2" fillId="3" borderId="0" xfId="0" applyFont="1" applyFill="1" applyAlignment="1">
      <alignment wrapText="1"/>
    </xf>
    <xf numFmtId="0" fontId="0" fillId="0" borderId="0" xfId="0" applyAlignment="1">
      <alignment wrapText="1"/>
    </xf>
    <xf numFmtId="0" fontId="3" fillId="3" borderId="1" xfId="0" applyFont="1" applyFill="1" applyBorder="1" applyAlignment="1">
      <alignment horizontal="left" vertical="center" wrapText="1"/>
    </xf>
    <xf numFmtId="0" fontId="2" fillId="3" borderId="1" xfId="0" applyFont="1" applyFill="1" applyBorder="1" applyAlignment="1">
      <alignment vertical="center" wrapText="1"/>
    </xf>
    <xf numFmtId="9" fontId="2" fillId="3" borderId="1" xfId="0" applyNumberFormat="1" applyFont="1" applyFill="1" applyBorder="1" applyAlignment="1">
      <alignment horizontal="left" vertical="center" wrapText="1"/>
    </xf>
    <xf numFmtId="0" fontId="2" fillId="3" borderId="1" xfId="0" applyFont="1" applyFill="1" applyBorder="1" applyAlignment="1">
      <alignment horizontal="left" vertical="center" wrapText="1"/>
    </xf>
    <xf numFmtId="0" fontId="3" fillId="4" borderId="1" xfId="0" applyFont="1" applyFill="1" applyBorder="1" applyAlignment="1">
      <alignment horizontal="center" vertical="center" wrapText="1"/>
    </xf>
    <xf numFmtId="0" fontId="2" fillId="4" borderId="1" xfId="0" applyFont="1" applyFill="1" applyBorder="1" applyAlignment="1">
      <alignment vertical="center" wrapText="1"/>
    </xf>
    <xf numFmtId="0" fontId="0" fillId="4" borderId="0" xfId="0" applyFill="1" applyAlignment="1">
      <alignment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left" vertical="center" wrapText="1"/>
    </xf>
    <xf numFmtId="0" fontId="2" fillId="0" borderId="1" xfId="0" applyFont="1" applyBorder="1" applyAlignment="1">
      <alignment horizontal="left" vertical="center" wrapText="1"/>
    </xf>
    <xf numFmtId="9" fontId="2" fillId="0" borderId="1" xfId="0" applyNumberFormat="1" applyFont="1" applyBorder="1" applyAlignment="1">
      <alignment horizontal="left" vertical="center" wrapText="1"/>
    </xf>
    <xf numFmtId="0" fontId="11" fillId="8" borderId="3" xfId="0" applyFont="1" applyFill="1" applyBorder="1" applyAlignment="1">
      <alignment horizontal="center" vertical="center" wrapText="1"/>
    </xf>
    <xf numFmtId="0" fontId="11" fillId="8" borderId="4" xfId="0" applyFont="1" applyFill="1" applyBorder="1" applyAlignment="1">
      <alignment horizontal="center" vertical="center" wrapText="1"/>
    </xf>
    <xf numFmtId="0" fontId="15" fillId="0" borderId="3" xfId="0" applyFont="1" applyBorder="1" applyAlignment="1">
      <alignment vertical="top" wrapText="1"/>
    </xf>
    <xf numFmtId="0" fontId="13" fillId="0" borderId="0" xfId="0" applyFont="1" applyAlignment="1">
      <alignment wrapText="1"/>
    </xf>
    <xf numFmtId="0" fontId="17" fillId="0" borderId="3" xfId="0" applyFont="1" applyBorder="1" applyAlignment="1">
      <alignment vertical="top" wrapText="1"/>
    </xf>
    <xf numFmtId="0" fontId="15" fillId="0" borderId="3" xfId="0" applyFont="1" applyBorder="1" applyAlignment="1">
      <alignment horizontal="center" vertical="top" wrapText="1"/>
    </xf>
    <xf numFmtId="0" fontId="17" fillId="10" borderId="3" xfId="0" applyFont="1" applyFill="1" applyBorder="1" applyAlignment="1">
      <alignment vertical="top" wrapText="1"/>
    </xf>
    <xf numFmtId="0" fontId="17" fillId="11" borderId="3" xfId="0" applyFont="1" applyFill="1" applyBorder="1" applyAlignment="1">
      <alignment vertical="top" wrapText="1"/>
    </xf>
    <xf numFmtId="0" fontId="17" fillId="12" borderId="3" xfId="0" applyFont="1" applyFill="1" applyBorder="1" applyAlignment="1">
      <alignment vertical="top" wrapText="1"/>
    </xf>
    <xf numFmtId="0" fontId="17" fillId="13" borderId="3" xfId="0" applyFont="1" applyFill="1" applyBorder="1" applyAlignment="1">
      <alignment vertical="top" wrapText="1"/>
    </xf>
    <xf numFmtId="0" fontId="17" fillId="14" borderId="3" xfId="0" applyFont="1" applyFill="1" applyBorder="1" applyAlignment="1">
      <alignment vertical="top" wrapText="1"/>
    </xf>
    <xf numFmtId="0" fontId="17" fillId="15" borderId="3" xfId="0" applyFont="1" applyFill="1" applyBorder="1" applyAlignment="1">
      <alignment vertical="top" wrapText="1"/>
    </xf>
    <xf numFmtId="0" fontId="18" fillId="0" borderId="3" xfId="0" applyFont="1" applyBorder="1" applyAlignment="1">
      <alignment vertical="top" wrapText="1"/>
    </xf>
    <xf numFmtId="9" fontId="19" fillId="0" borderId="3" xfId="0" applyNumberFormat="1" applyFont="1" applyBorder="1" applyAlignment="1">
      <alignment horizontal="center" vertical="top" wrapText="1"/>
    </xf>
    <xf numFmtId="0" fontId="19" fillId="0" borderId="3" xfId="0" applyFont="1" applyBorder="1" applyAlignment="1">
      <alignment horizontal="center" vertical="top" wrapText="1"/>
    </xf>
    <xf numFmtId="0" fontId="15" fillId="0" borderId="3" xfId="0" quotePrefix="1" applyFont="1" applyBorder="1" applyAlignment="1">
      <alignment vertical="top" wrapText="1"/>
    </xf>
    <xf numFmtId="0" fontId="23" fillId="0" borderId="3" xfId="0" applyFont="1" applyBorder="1" applyAlignment="1">
      <alignment vertical="top" wrapText="1"/>
    </xf>
    <xf numFmtId="9" fontId="23" fillId="0" borderId="3" xfId="0" applyNumberFormat="1" applyFont="1" applyBorder="1" applyAlignment="1">
      <alignment vertical="top" wrapText="1"/>
    </xf>
    <xf numFmtId="0" fontId="24" fillId="0" borderId="3" xfId="0" applyFont="1" applyBorder="1" applyAlignment="1">
      <alignment vertical="top" wrapText="1"/>
    </xf>
    <xf numFmtId="0" fontId="24" fillId="12" borderId="3" xfId="0" applyFont="1" applyFill="1" applyBorder="1" applyAlignment="1">
      <alignment vertical="top" wrapText="1"/>
    </xf>
    <xf numFmtId="0" fontId="13" fillId="0" borderId="0" xfId="0" applyFont="1" applyAlignment="1">
      <alignment vertical="top" wrapText="1"/>
    </xf>
    <xf numFmtId="0" fontId="25" fillId="0" borderId="3" xfId="0" applyFont="1" applyBorder="1" applyAlignment="1">
      <alignment vertical="top" wrapText="1"/>
    </xf>
    <xf numFmtId="0" fontId="27" fillId="2" borderId="1" xfId="0" applyFont="1" applyFill="1" applyBorder="1" applyAlignment="1">
      <alignment horizontal="center" vertical="center" wrapText="1"/>
    </xf>
    <xf numFmtId="0" fontId="28" fillId="0" borderId="1" xfId="0" applyFont="1" applyBorder="1" applyAlignment="1">
      <alignment vertical="center" wrapText="1"/>
    </xf>
    <xf numFmtId="0" fontId="30" fillId="0" borderId="1" xfId="0" applyFont="1" applyBorder="1" applyAlignment="1">
      <alignment vertical="center" wrapText="1"/>
    </xf>
    <xf numFmtId="0" fontId="31" fillId="0" borderId="1" xfId="1" applyFont="1" applyBorder="1" applyAlignment="1">
      <alignment vertical="center" wrapText="1"/>
    </xf>
    <xf numFmtId="0" fontId="11" fillId="8" borderId="4" xfId="0" applyFont="1" applyFill="1" applyBorder="1" applyAlignment="1">
      <alignment horizontal="center" wrapText="1"/>
    </xf>
    <xf numFmtId="0" fontId="33" fillId="8" borderId="4" xfId="0" applyFont="1" applyFill="1" applyBorder="1" applyAlignment="1">
      <alignment horizontal="center" vertical="center" wrapText="1"/>
    </xf>
    <xf numFmtId="0" fontId="33" fillId="8" borderId="4" xfId="0" applyFont="1" applyFill="1" applyBorder="1" applyAlignment="1">
      <alignment horizontal="center" wrapText="1"/>
    </xf>
    <xf numFmtId="0" fontId="34" fillId="0" borderId="3" xfId="0" applyFont="1" applyBorder="1" applyAlignment="1">
      <alignment vertical="top" wrapText="1"/>
    </xf>
    <xf numFmtId="0" fontId="24" fillId="12" borderId="3" xfId="0" applyFont="1" applyFill="1" applyBorder="1" applyAlignment="1">
      <alignment horizontal="center" vertical="top" wrapText="1"/>
    </xf>
    <xf numFmtId="0" fontId="35" fillId="0" borderId="3" xfId="0" applyFont="1" applyBorder="1" applyAlignment="1">
      <alignment vertical="top" wrapText="1"/>
    </xf>
    <xf numFmtId="0" fontId="35" fillId="12" borderId="3" xfId="0" applyFont="1" applyFill="1" applyBorder="1" applyAlignment="1">
      <alignment horizontal="center" vertical="top" wrapText="1"/>
    </xf>
    <xf numFmtId="0" fontId="17" fillId="0" borderId="3" xfId="0" applyFont="1" applyBorder="1" applyAlignment="1">
      <alignment horizontal="left" vertical="top" wrapText="1"/>
    </xf>
    <xf numFmtId="0" fontId="1" fillId="9" borderId="0" xfId="0" applyFont="1" applyFill="1" applyAlignment="1">
      <alignment wrapText="1"/>
    </xf>
    <xf numFmtId="164" fontId="0" fillId="9" borderId="0" xfId="0" applyNumberFormat="1" applyFill="1" applyAlignment="1">
      <alignment wrapText="1"/>
    </xf>
    <xf numFmtId="0" fontId="0" fillId="9" borderId="0" xfId="0" applyFill="1" applyAlignment="1">
      <alignment wrapText="1"/>
    </xf>
    <xf numFmtId="0" fontId="39" fillId="10" borderId="0" xfId="0" applyFont="1" applyFill="1" applyAlignment="1">
      <alignment horizontal="center" vertical="center" wrapText="1"/>
    </xf>
    <xf numFmtId="0" fontId="0" fillId="0" borderId="5" xfId="0" applyBorder="1" applyAlignment="1">
      <alignment vertical="top" wrapText="1"/>
    </xf>
    <xf numFmtId="0" fontId="0" fillId="16" borderId="5" xfId="0" applyFill="1" applyBorder="1" applyAlignment="1">
      <alignment vertical="top" wrapText="1"/>
    </xf>
    <xf numFmtId="0" fontId="1" fillId="0" borderId="5" xfId="0" applyFont="1" applyBorder="1" applyAlignment="1">
      <alignment vertical="top" wrapText="1"/>
    </xf>
    <xf numFmtId="0" fontId="1" fillId="16" borderId="5" xfId="0" applyFont="1" applyFill="1" applyBorder="1" applyAlignment="1">
      <alignment vertical="top" wrapText="1"/>
    </xf>
    <xf numFmtId="0" fontId="1" fillId="0" borderId="5" xfId="0" applyFont="1" applyBorder="1" applyAlignment="1">
      <alignment horizontal="center" vertical="top" wrapText="1"/>
    </xf>
    <xf numFmtId="0" fontId="1" fillId="16" borderId="5" xfId="0" applyFont="1" applyFill="1" applyBorder="1" applyAlignment="1">
      <alignment horizontal="center" vertical="top" wrapText="1"/>
    </xf>
    <xf numFmtId="1" fontId="41" fillId="9" borderId="0" xfId="0" applyNumberFormat="1" applyFont="1" applyFill="1" applyAlignment="1">
      <alignment horizontal="center" wrapText="1"/>
    </xf>
    <xf numFmtId="0" fontId="42" fillId="13" borderId="5" xfId="0" applyFont="1" applyFill="1" applyBorder="1" applyAlignment="1">
      <alignment vertical="top" wrapText="1"/>
    </xf>
    <xf numFmtId="0" fontId="40" fillId="12" borderId="5" xfId="0" applyFont="1" applyFill="1" applyBorder="1" applyAlignment="1">
      <alignment vertical="top" wrapText="1"/>
    </xf>
    <xf numFmtId="0" fontId="0" fillId="0" borderId="0" xfId="0" applyAlignment="1">
      <alignment horizontal="left" wrapText="1"/>
    </xf>
    <xf numFmtId="0" fontId="5" fillId="0" borderId="0" xfId="1" applyAlignment="1">
      <alignment vertical="center"/>
    </xf>
    <xf numFmtId="0" fontId="0" fillId="0" borderId="0" xfId="0" applyAlignment="1">
      <alignment vertical="center"/>
    </xf>
    <xf numFmtId="0" fontId="27" fillId="2" borderId="1" xfId="0" applyFont="1" applyFill="1" applyBorder="1" applyAlignment="1">
      <alignment horizontal="center" vertical="center"/>
    </xf>
    <xf numFmtId="0" fontId="27" fillId="0" borderId="1" xfId="0" applyFont="1" applyBorder="1" applyAlignment="1">
      <alignment vertical="center"/>
    </xf>
    <xf numFmtId="0" fontId="5" fillId="0" borderId="1" xfId="1" applyBorder="1" applyAlignment="1">
      <alignment vertical="center"/>
    </xf>
    <xf numFmtId="0" fontId="28" fillId="0" borderId="1" xfId="0" applyFont="1" applyBorder="1" applyAlignment="1">
      <alignment vertical="center"/>
    </xf>
    <xf numFmtId="0" fontId="44" fillId="0" borderId="0" xfId="0" applyFont="1" applyAlignment="1">
      <alignment vertical="center"/>
    </xf>
    <xf numFmtId="0" fontId="26" fillId="0" borderId="0" xfId="0" applyFont="1" applyAlignment="1">
      <alignment horizontal="center" vertical="center"/>
    </xf>
    <xf numFmtId="0" fontId="0" fillId="0" borderId="0" xfId="0" applyAlignment="1">
      <alignment horizontal="center" vertical="center"/>
    </xf>
    <xf numFmtId="0" fontId="26" fillId="0" borderId="0" xfId="0" applyFont="1" applyAlignment="1">
      <alignment vertical="center"/>
    </xf>
    <xf numFmtId="0" fontId="47" fillId="0" borderId="0" xfId="1" applyFont="1" applyAlignment="1">
      <alignment horizontal="left" vertical="top"/>
    </xf>
    <xf numFmtId="0" fontId="48" fillId="0" borderId="0" xfId="0" applyFont="1" applyAlignment="1">
      <alignment horizontal="left" vertical="top"/>
    </xf>
    <xf numFmtId="0" fontId="48" fillId="0" borderId="0" xfId="0" applyFont="1" applyAlignment="1">
      <alignment horizontal="left"/>
    </xf>
    <xf numFmtId="0" fontId="48" fillId="0" borderId="0" xfId="0" applyFont="1" applyAlignment="1">
      <alignment horizontal="left" vertical="top" wrapText="1"/>
    </xf>
    <xf numFmtId="0" fontId="49" fillId="6" borderId="0" xfId="0" applyFont="1" applyFill="1" applyAlignment="1">
      <alignment horizontal="left" vertical="top"/>
    </xf>
    <xf numFmtId="0" fontId="50" fillId="0" borderId="0" xfId="0" applyFont="1" applyAlignment="1">
      <alignment horizontal="left" vertical="top"/>
    </xf>
    <xf numFmtId="0" fontId="51" fillId="0" borderId="0" xfId="0" applyFont="1" applyAlignment="1">
      <alignment horizontal="left" vertical="top"/>
    </xf>
    <xf numFmtId="0" fontId="49" fillId="7" borderId="6" xfId="0" applyFont="1" applyFill="1" applyBorder="1" applyAlignment="1">
      <alignment horizontal="center" vertical="top" wrapText="1"/>
    </xf>
    <xf numFmtId="0" fontId="52" fillId="9" borderId="7" xfId="0" applyFont="1" applyFill="1" applyBorder="1" applyAlignment="1">
      <alignment horizontal="left" vertical="top" wrapText="1"/>
    </xf>
    <xf numFmtId="0" fontId="48" fillId="9" borderId="7" xfId="0" applyFont="1" applyFill="1" applyBorder="1" applyAlignment="1">
      <alignment horizontal="left" vertical="top" wrapText="1"/>
    </xf>
    <xf numFmtId="0" fontId="47" fillId="9" borderId="7" xfId="1" applyFont="1" applyFill="1" applyBorder="1" applyAlignment="1">
      <alignment horizontal="left" vertical="top" wrapText="1"/>
    </xf>
    <xf numFmtId="0" fontId="52" fillId="0" borderId="1" xfId="0" applyFont="1" applyBorder="1" applyAlignment="1">
      <alignment horizontal="left" vertical="top" wrapText="1"/>
    </xf>
    <xf numFmtId="0" fontId="48" fillId="0" borderId="1" xfId="0" applyFont="1" applyBorder="1" applyAlignment="1">
      <alignment horizontal="left" vertical="top" wrapText="1"/>
    </xf>
    <xf numFmtId="0" fontId="47" fillId="0" borderId="1" xfId="1" applyFont="1" applyBorder="1" applyAlignment="1">
      <alignment horizontal="left" vertical="top" wrapText="1"/>
    </xf>
    <xf numFmtId="0" fontId="52" fillId="9" borderId="1" xfId="0" applyFont="1" applyFill="1" applyBorder="1" applyAlignment="1">
      <alignment horizontal="left" vertical="top" wrapText="1"/>
    </xf>
    <xf numFmtId="0" fontId="48" fillId="9" borderId="1" xfId="0" applyFont="1" applyFill="1" applyBorder="1" applyAlignment="1">
      <alignment horizontal="left" vertical="top" wrapText="1"/>
    </xf>
    <xf numFmtId="0" fontId="47" fillId="9" borderId="1" xfId="1" applyFont="1" applyFill="1" applyBorder="1" applyAlignment="1">
      <alignment horizontal="left" vertical="top" wrapText="1"/>
    </xf>
    <xf numFmtId="0" fontId="49" fillId="6" borderId="0" xfId="0" applyFont="1" applyFill="1" applyAlignment="1">
      <alignment horizontal="left" vertical="top" wrapText="1"/>
    </xf>
    <xf numFmtId="0" fontId="48" fillId="0" borderId="0" xfId="0" applyFont="1" applyAlignment="1">
      <alignment horizontal="center" vertical="top" wrapText="1"/>
    </xf>
    <xf numFmtId="0" fontId="49" fillId="7" borderId="1" xfId="0" applyFont="1" applyFill="1" applyBorder="1" applyAlignment="1">
      <alignment horizontal="center" vertical="top" wrapText="1"/>
    </xf>
    <xf numFmtId="0" fontId="53" fillId="16" borderId="0" xfId="0" applyFont="1" applyFill="1" applyAlignment="1">
      <alignment vertical="top" wrapText="1"/>
    </xf>
    <xf numFmtId="0" fontId="23" fillId="0" borderId="3" xfId="0" applyFont="1" applyBorder="1" applyAlignment="1">
      <alignment horizontal="center" vertical="top" wrapText="1"/>
    </xf>
    <xf numFmtId="0" fontId="54" fillId="0" borderId="3" xfId="0" applyFont="1" applyBorder="1" applyAlignment="1">
      <alignment vertical="top" wrapText="1"/>
    </xf>
    <xf numFmtId="0" fontId="23" fillId="18" borderId="3" xfId="0" applyFont="1" applyFill="1" applyBorder="1" applyAlignment="1">
      <alignment vertical="top" wrapText="1"/>
    </xf>
    <xf numFmtId="0" fontId="52" fillId="3" borderId="0" xfId="0" applyFont="1" applyFill="1" applyAlignment="1">
      <alignment vertical="center"/>
    </xf>
    <xf numFmtId="0" fontId="52" fillId="3" borderId="1" xfId="0" applyFont="1" applyFill="1" applyBorder="1" applyAlignment="1">
      <alignment horizontal="center" vertical="center"/>
    </xf>
    <xf numFmtId="0" fontId="52" fillId="3" borderId="1" xfId="0" applyFont="1" applyFill="1" applyBorder="1" applyAlignment="1">
      <alignment horizontal="left" vertical="center"/>
    </xf>
    <xf numFmtId="0" fontId="48" fillId="3" borderId="0" xfId="0" applyFont="1" applyFill="1" applyAlignment="1">
      <alignment vertical="center"/>
    </xf>
    <xf numFmtId="0" fontId="48" fillId="0" borderId="0" xfId="0" applyFont="1"/>
    <xf numFmtId="0" fontId="52" fillId="0" borderId="0" xfId="0" applyFont="1" applyAlignment="1">
      <alignment vertical="center"/>
    </xf>
    <xf numFmtId="0" fontId="52" fillId="0" borderId="1" xfId="0" applyFont="1" applyBorder="1" applyAlignment="1">
      <alignment horizontal="center" vertical="center"/>
    </xf>
    <xf numFmtId="0" fontId="52" fillId="0" borderId="1" xfId="0" applyFont="1" applyBorder="1" applyAlignment="1">
      <alignment horizontal="left" vertical="center"/>
    </xf>
    <xf numFmtId="0" fontId="48" fillId="0" borderId="1" xfId="0" applyFont="1" applyBorder="1" applyAlignment="1">
      <alignment vertical="center"/>
    </xf>
    <xf numFmtId="9" fontId="48" fillId="0" borderId="1" xfId="0" applyNumberFormat="1" applyFont="1" applyBorder="1" applyAlignment="1">
      <alignment horizontal="left" vertical="center"/>
    </xf>
    <xf numFmtId="0" fontId="48" fillId="0" borderId="1" xfId="0" applyFont="1" applyBorder="1" applyAlignment="1">
      <alignment horizontal="left" vertical="center"/>
    </xf>
    <xf numFmtId="0" fontId="48" fillId="0" borderId="8" xfId="0" applyFont="1" applyBorder="1" applyAlignment="1">
      <alignment vertical="center"/>
    </xf>
    <xf numFmtId="0" fontId="52" fillId="0" borderId="1" xfId="0" applyFont="1" applyBorder="1" applyAlignment="1">
      <alignment horizontal="left" vertical="center" wrapText="1"/>
    </xf>
    <xf numFmtId="0" fontId="48" fillId="0" borderId="1" xfId="0" applyFont="1" applyBorder="1" applyAlignment="1">
      <alignment horizontal="left" vertical="center" wrapText="1"/>
    </xf>
    <xf numFmtId="9" fontId="48" fillId="0" borderId="1" xfId="0" applyNumberFormat="1" applyFont="1" applyBorder="1" applyAlignment="1">
      <alignment horizontal="left" vertical="center" wrapText="1"/>
    </xf>
    <xf numFmtId="0" fontId="48" fillId="0" borderId="0" xfId="0" applyFont="1" applyAlignment="1">
      <alignment vertical="center"/>
    </xf>
    <xf numFmtId="9" fontId="48" fillId="0" borderId="1" xfId="0" applyNumberFormat="1" applyFont="1" applyBorder="1" applyAlignment="1">
      <alignment vertical="center"/>
    </xf>
    <xf numFmtId="0" fontId="48" fillId="3" borderId="0" xfId="0" applyFont="1" applyFill="1"/>
    <xf numFmtId="0" fontId="49" fillId="8" borderId="0" xfId="0" applyFont="1" applyFill="1" applyAlignment="1">
      <alignment horizontal="center" vertical="center" wrapText="1"/>
    </xf>
    <xf numFmtId="0" fontId="48" fillId="0" borderId="0" xfId="0" applyFont="1" applyAlignment="1">
      <alignment vertical="top" wrapText="1"/>
    </xf>
    <xf numFmtId="0" fontId="48" fillId="3" borderId="0" xfId="0" applyFont="1" applyFill="1" applyAlignment="1">
      <alignment vertical="top" wrapText="1"/>
    </xf>
    <xf numFmtId="0" fontId="24" fillId="12" borderId="4" xfId="0" applyFont="1" applyFill="1" applyBorder="1" applyAlignment="1">
      <alignment vertical="top" wrapText="1"/>
    </xf>
    <xf numFmtId="0" fontId="23" fillId="0" borderId="4" xfId="0" applyFont="1" applyBorder="1" applyAlignment="1">
      <alignment vertical="top" wrapText="1"/>
    </xf>
    <xf numFmtId="0" fontId="56" fillId="0" borderId="3" xfId="1" quotePrefix="1" applyFont="1" applyBorder="1" applyAlignment="1">
      <alignment vertical="top" wrapText="1"/>
    </xf>
    <xf numFmtId="0" fontId="57" fillId="0" borderId="0" xfId="0" applyFont="1" applyAlignment="1">
      <alignment horizontal="left" vertical="center" readingOrder="1"/>
    </xf>
    <xf numFmtId="0" fontId="57" fillId="0" borderId="0" xfId="0" applyFont="1" applyAlignment="1">
      <alignment horizontal="center" vertical="center" readingOrder="1"/>
    </xf>
    <xf numFmtId="0" fontId="48" fillId="0" borderId="0" xfId="0" applyFont="1" applyAlignment="1">
      <alignment horizontal="center" vertical="center" readingOrder="1"/>
    </xf>
    <xf numFmtId="0" fontId="58" fillId="0" borderId="0" xfId="0" applyFont="1" applyAlignment="1">
      <alignment horizontal="left" vertical="center" readingOrder="1"/>
    </xf>
    <xf numFmtId="0" fontId="59" fillId="0" borderId="0" xfId="0" applyFont="1"/>
    <xf numFmtId="0" fontId="52" fillId="0" borderId="0" xfId="0" applyFont="1"/>
    <xf numFmtId="0" fontId="60" fillId="24" borderId="19" xfId="0" applyFont="1" applyFill="1" applyBorder="1" applyAlignment="1">
      <alignment horizontal="center" vertical="center" readingOrder="1"/>
    </xf>
    <xf numFmtId="0" fontId="61" fillId="26" borderId="19" xfId="0" applyFont="1" applyFill="1" applyBorder="1" applyAlignment="1">
      <alignment horizontal="center" vertical="center" readingOrder="1"/>
    </xf>
    <xf numFmtId="0" fontId="61" fillId="26" borderId="19" xfId="0" applyFont="1" applyFill="1" applyBorder="1" applyAlignment="1">
      <alignment horizontal="left" vertical="center" readingOrder="1"/>
    </xf>
    <xf numFmtId="0" fontId="48" fillId="0" borderId="0" xfId="0" applyFont="1" applyAlignment="1">
      <alignment horizontal="left" vertical="center" readingOrder="1"/>
    </xf>
    <xf numFmtId="0" fontId="61" fillId="0" borderId="0" xfId="0" applyFont="1"/>
    <xf numFmtId="0" fontId="63" fillId="19" borderId="9" xfId="0" applyFont="1" applyFill="1" applyBorder="1" applyAlignment="1">
      <alignment horizontal="center" vertical="center" readingOrder="1"/>
    </xf>
    <xf numFmtId="0" fontId="63" fillId="19" borderId="9" xfId="0" applyFont="1" applyFill="1" applyBorder="1" applyAlignment="1">
      <alignment horizontal="center" readingOrder="1"/>
    </xf>
    <xf numFmtId="0" fontId="58" fillId="20" borderId="9" xfId="0" applyFont="1" applyFill="1" applyBorder="1" applyAlignment="1">
      <alignment horizontal="center" vertical="center" readingOrder="1"/>
    </xf>
    <xf numFmtId="0" fontId="58" fillId="20" borderId="9" xfId="0" applyFont="1" applyFill="1" applyBorder="1" applyAlignment="1">
      <alignment horizontal="center" vertical="top" readingOrder="1"/>
    </xf>
    <xf numFmtId="0" fontId="64" fillId="20" borderId="9" xfId="0" applyFont="1" applyFill="1" applyBorder="1" applyAlignment="1">
      <alignment horizontal="center" vertical="top"/>
    </xf>
    <xf numFmtId="0" fontId="64" fillId="20" borderId="9" xfId="0" applyFont="1" applyFill="1" applyBorder="1" applyAlignment="1">
      <alignment horizontal="center" vertical="center"/>
    </xf>
    <xf numFmtId="0" fontId="65" fillId="19" borderId="9" xfId="0" applyFont="1" applyFill="1" applyBorder="1" applyAlignment="1">
      <alignment horizontal="center" vertical="center" readingOrder="1"/>
    </xf>
    <xf numFmtId="0" fontId="65" fillId="19" borderId="9" xfId="0" applyFont="1" applyFill="1" applyBorder="1" applyAlignment="1">
      <alignment horizontal="center" readingOrder="1"/>
    </xf>
    <xf numFmtId="0" fontId="61" fillId="20" borderId="9" xfId="0" applyFont="1" applyFill="1" applyBorder="1" applyAlignment="1">
      <alignment horizontal="center" vertical="center" readingOrder="1"/>
    </xf>
    <xf numFmtId="0" fontId="61" fillId="20" borderId="9" xfId="0" applyFont="1" applyFill="1" applyBorder="1" applyAlignment="1">
      <alignment horizontal="center" vertical="top" readingOrder="1"/>
    </xf>
    <xf numFmtId="0" fontId="49" fillId="19" borderId="13" xfId="0" applyFont="1" applyFill="1" applyBorder="1" applyAlignment="1">
      <alignment horizontal="center" vertical="center" readingOrder="1"/>
    </xf>
    <xf numFmtId="0" fontId="61" fillId="21" borderId="14" xfId="0" applyFont="1" applyFill="1" applyBorder="1" applyAlignment="1">
      <alignment horizontal="center" vertical="center" readingOrder="1"/>
    </xf>
    <xf numFmtId="0" fontId="61" fillId="21" borderId="14" xfId="0" applyFont="1" applyFill="1" applyBorder="1" applyAlignment="1">
      <alignment horizontal="left" vertical="center" readingOrder="1"/>
    </xf>
    <xf numFmtId="0" fontId="61" fillId="22" borderId="15" xfId="0" applyFont="1" applyFill="1" applyBorder="1" applyAlignment="1">
      <alignment horizontal="center" vertical="center" readingOrder="1"/>
    </xf>
    <xf numFmtId="0" fontId="61" fillId="22" borderId="15" xfId="0" applyFont="1" applyFill="1" applyBorder="1" applyAlignment="1">
      <alignment horizontal="left" vertical="center" readingOrder="1"/>
    </xf>
    <xf numFmtId="0" fontId="61" fillId="21" borderId="15" xfId="0" applyFont="1" applyFill="1" applyBorder="1" applyAlignment="1">
      <alignment horizontal="center" vertical="center" readingOrder="1"/>
    </xf>
    <xf numFmtId="0" fontId="61" fillId="21" borderId="15" xfId="0" applyFont="1" applyFill="1" applyBorder="1" applyAlignment="1">
      <alignment horizontal="left" vertical="center" readingOrder="1"/>
    </xf>
    <xf numFmtId="0" fontId="49" fillId="23" borderId="13" xfId="0" applyFont="1" applyFill="1" applyBorder="1" applyAlignment="1">
      <alignment horizontal="center" vertical="center" readingOrder="1"/>
    </xf>
    <xf numFmtId="0" fontId="48" fillId="0" borderId="0" xfId="0" applyFont="1" applyAlignment="1">
      <alignment wrapText="1"/>
    </xf>
    <xf numFmtId="0" fontId="49" fillId="24" borderId="15" xfId="0" applyFont="1" applyFill="1" applyBorder="1" applyAlignment="1">
      <alignment horizontal="center" vertical="center" readingOrder="1"/>
    </xf>
    <xf numFmtId="0" fontId="61" fillId="25" borderId="15" xfId="0" applyFont="1" applyFill="1" applyBorder="1" applyAlignment="1">
      <alignment horizontal="center" vertical="center" readingOrder="1"/>
    </xf>
    <xf numFmtId="0" fontId="61" fillId="25" borderId="15" xfId="0" applyFont="1" applyFill="1" applyBorder="1" applyAlignment="1">
      <alignment horizontal="left" vertical="center" readingOrder="1"/>
    </xf>
    <xf numFmtId="0" fontId="61" fillId="25" borderId="16" xfId="0" applyFont="1" applyFill="1" applyBorder="1" applyAlignment="1">
      <alignment horizontal="left" vertical="center" readingOrder="1"/>
    </xf>
    <xf numFmtId="0" fontId="61" fillId="25" borderId="17" xfId="0" applyFont="1" applyFill="1" applyBorder="1" applyAlignment="1">
      <alignment horizontal="left" vertical="center" readingOrder="1"/>
    </xf>
    <xf numFmtId="0" fontId="61" fillId="25" borderId="18" xfId="0" applyFont="1" applyFill="1" applyBorder="1" applyAlignment="1">
      <alignment horizontal="left" vertical="center" readingOrder="1"/>
    </xf>
    <xf numFmtId="0" fontId="66" fillId="25" borderId="15" xfId="0" applyFont="1" applyFill="1" applyBorder="1" applyAlignment="1">
      <alignment horizontal="center" vertical="center" readingOrder="1"/>
    </xf>
    <xf numFmtId="9" fontId="61" fillId="25" borderId="15" xfId="0" applyNumberFormat="1" applyFont="1" applyFill="1" applyBorder="1" applyAlignment="1">
      <alignment horizontal="center" vertical="center" readingOrder="1"/>
    </xf>
    <xf numFmtId="0" fontId="12" fillId="6" borderId="0" xfId="0" applyFont="1" applyFill="1" applyAlignment="1">
      <alignment vertical="center"/>
    </xf>
    <xf numFmtId="0" fontId="1" fillId="13" borderId="0" xfId="0" applyFont="1" applyFill="1" applyAlignment="1">
      <alignment vertical="center" wrapText="1"/>
    </xf>
    <xf numFmtId="0" fontId="25" fillId="0" borderId="0" xfId="0" applyFont="1" applyAlignment="1">
      <alignment wrapText="1"/>
    </xf>
    <xf numFmtId="0" fontId="0" fillId="9" borderId="0" xfId="0" applyFill="1" applyAlignment="1">
      <alignment vertical="center" wrapText="1"/>
    </xf>
    <xf numFmtId="0" fontId="11" fillId="7" borderId="0" xfId="0" applyFont="1" applyFill="1"/>
    <xf numFmtId="0" fontId="67" fillId="0" borderId="0" xfId="0" applyFont="1"/>
    <xf numFmtId="0" fontId="49" fillId="19" borderId="13" xfId="0" applyFont="1" applyFill="1" applyBorder="1" applyAlignment="1">
      <alignment horizontal="left" vertical="center" wrapText="1" readingOrder="1"/>
    </xf>
    <xf numFmtId="0" fontId="49" fillId="19" borderId="13" xfId="0" applyFont="1" applyFill="1" applyBorder="1" applyAlignment="1">
      <alignment horizontal="center" vertical="center" wrapText="1" readingOrder="1"/>
    </xf>
    <xf numFmtId="0" fontId="61" fillId="27" borderId="14" xfId="0" applyFont="1" applyFill="1" applyBorder="1" applyAlignment="1">
      <alignment horizontal="left" vertical="center" wrapText="1" readingOrder="1"/>
    </xf>
    <xf numFmtId="0" fontId="61" fillId="27" borderId="14" xfId="0" applyFont="1" applyFill="1" applyBorder="1" applyAlignment="1">
      <alignment horizontal="center" vertical="center" wrapText="1" readingOrder="1"/>
    </xf>
    <xf numFmtId="0" fontId="61" fillId="28" borderId="15" xfId="0" applyFont="1" applyFill="1" applyBorder="1" applyAlignment="1">
      <alignment horizontal="left" vertical="center" wrapText="1" readingOrder="1"/>
    </xf>
    <xf numFmtId="0" fontId="61" fillId="28" borderId="15" xfId="0" applyFont="1" applyFill="1" applyBorder="1" applyAlignment="1">
      <alignment horizontal="center" vertical="center" wrapText="1" readingOrder="1"/>
    </xf>
    <xf numFmtId="0" fontId="61" fillId="27" borderId="15" xfId="0" applyFont="1" applyFill="1" applyBorder="1" applyAlignment="1">
      <alignment horizontal="left" vertical="center" wrapText="1" readingOrder="1"/>
    </xf>
    <xf numFmtId="0" fontId="61" fillId="27" borderId="15" xfId="0" applyFont="1" applyFill="1" applyBorder="1" applyAlignment="1">
      <alignment horizontal="center" vertical="center" wrapText="1" readingOrder="1"/>
    </xf>
    <xf numFmtId="0" fontId="68" fillId="27" borderId="15" xfId="0" applyFont="1" applyFill="1" applyBorder="1" applyAlignment="1">
      <alignment horizontal="left" vertical="center" wrapText="1" readingOrder="1"/>
    </xf>
    <xf numFmtId="0" fontId="68" fillId="28" borderId="15" xfId="0" applyFont="1" applyFill="1" applyBorder="1" applyAlignment="1">
      <alignment horizontal="left" vertical="center" wrapText="1" readingOrder="1"/>
    </xf>
    <xf numFmtId="0" fontId="57" fillId="0" borderId="0" xfId="0" applyFont="1"/>
    <xf numFmtId="0" fontId="64" fillId="27" borderId="14" xfId="0" applyFont="1" applyFill="1" applyBorder="1" applyAlignment="1">
      <alignment horizontal="center" vertical="top" wrapText="1"/>
    </xf>
    <xf numFmtId="0" fontId="64" fillId="28" borderId="15" xfId="0" applyFont="1" applyFill="1" applyBorder="1" applyAlignment="1">
      <alignment vertical="top" wrapText="1"/>
    </xf>
    <xf numFmtId="0" fontId="64" fillId="28" borderId="15" xfId="0" applyFont="1" applyFill="1" applyBorder="1" applyAlignment="1">
      <alignment horizontal="center" vertical="top" wrapText="1"/>
    </xf>
    <xf numFmtId="0" fontId="64" fillId="27" borderId="15" xfId="0" applyFont="1" applyFill="1" applyBorder="1" applyAlignment="1">
      <alignment vertical="top" wrapText="1"/>
    </xf>
    <xf numFmtId="0" fontId="64" fillId="27" borderId="15" xfId="0" applyFont="1" applyFill="1" applyBorder="1" applyAlignment="1">
      <alignment horizontal="center" vertical="top" wrapText="1"/>
    </xf>
    <xf numFmtId="0" fontId="61" fillId="27" borderId="16" xfId="0" applyFont="1" applyFill="1" applyBorder="1" applyAlignment="1">
      <alignment horizontal="left" vertical="center" wrapText="1" readingOrder="1"/>
    </xf>
    <xf numFmtId="0" fontId="61" fillId="27" borderId="18" xfId="0" applyFont="1" applyFill="1" applyBorder="1" applyAlignment="1">
      <alignment horizontal="left" vertical="center" wrapText="1" readingOrder="1"/>
    </xf>
    <xf numFmtId="0" fontId="61" fillId="28" borderId="16" xfId="0" applyFont="1" applyFill="1" applyBorder="1" applyAlignment="1">
      <alignment horizontal="left" vertical="center" wrapText="1" readingOrder="1"/>
    </xf>
    <xf numFmtId="0" fontId="61" fillId="28" borderId="18" xfId="0" applyFont="1" applyFill="1" applyBorder="1" applyAlignment="1">
      <alignment horizontal="left" vertical="center" wrapText="1" readingOrder="1"/>
    </xf>
    <xf numFmtId="0" fontId="64" fillId="27" borderId="14" xfId="0" applyFont="1" applyFill="1" applyBorder="1" applyAlignment="1">
      <alignment vertical="top" wrapText="1"/>
    </xf>
    <xf numFmtId="0" fontId="58" fillId="27" borderId="14" xfId="0" applyFont="1" applyFill="1" applyBorder="1" applyAlignment="1">
      <alignment horizontal="left" vertical="center" wrapText="1" readingOrder="1"/>
    </xf>
    <xf numFmtId="0" fontId="58" fillId="27" borderId="15" xfId="0" applyFont="1" applyFill="1" applyBorder="1" applyAlignment="1">
      <alignment horizontal="left" vertical="center" wrapText="1" readingOrder="1"/>
    </xf>
    <xf numFmtId="0" fontId="58" fillId="28" borderId="15" xfId="0" applyFont="1" applyFill="1" applyBorder="1" applyAlignment="1">
      <alignment horizontal="left" vertical="center" wrapText="1" readingOrder="1"/>
    </xf>
    <xf numFmtId="0" fontId="2" fillId="0" borderId="0" xfId="0" applyFont="1" applyAlignment="1">
      <alignment horizontal="left" vertical="center" wrapText="1"/>
    </xf>
    <xf numFmtId="0" fontId="0" fillId="0" borderId="0" xfId="0" applyAlignment="1">
      <alignment vertical="center" wrapText="1"/>
    </xf>
    <xf numFmtId="0" fontId="24" fillId="0" borderId="3" xfId="0" applyFont="1" applyBorder="1" applyAlignment="1">
      <alignment vertical="center" wrapText="1"/>
    </xf>
    <xf numFmtId="0" fontId="23" fillId="0" borderId="3" xfId="0" applyFont="1" applyBorder="1" applyAlignment="1">
      <alignment vertical="center" wrapText="1"/>
    </xf>
    <xf numFmtId="0" fontId="24" fillId="12" borderId="3" xfId="0" applyFont="1" applyFill="1" applyBorder="1" applyAlignment="1">
      <alignment vertical="center" wrapText="1"/>
    </xf>
    <xf numFmtId="0" fontId="48" fillId="3" borderId="0" xfId="0" applyFont="1" applyFill="1" applyAlignment="1">
      <alignment wrapText="1"/>
    </xf>
    <xf numFmtId="0" fontId="52" fillId="3" borderId="0" xfId="0" applyFont="1" applyFill="1" applyAlignment="1">
      <alignment vertical="center" wrapText="1"/>
    </xf>
    <xf numFmtId="0" fontId="52" fillId="3" borderId="1" xfId="0" applyFont="1" applyFill="1" applyBorder="1" applyAlignment="1">
      <alignment horizontal="center" vertical="center" wrapText="1"/>
    </xf>
    <xf numFmtId="0" fontId="52" fillId="3" borderId="1" xfId="0" applyFont="1" applyFill="1" applyBorder="1" applyAlignment="1">
      <alignment horizontal="left" vertical="center" wrapText="1"/>
    </xf>
    <xf numFmtId="0" fontId="52" fillId="0" borderId="0" xfId="0" applyFont="1" applyAlignment="1">
      <alignment vertical="center" wrapText="1"/>
    </xf>
    <xf numFmtId="0" fontId="48" fillId="0" borderId="1" xfId="0" applyFont="1" applyBorder="1" applyAlignment="1">
      <alignment vertical="center" wrapText="1"/>
    </xf>
    <xf numFmtId="9" fontId="48" fillId="0" borderId="1" xfId="0" applyNumberFormat="1" applyFont="1" applyBorder="1" applyAlignment="1">
      <alignment vertical="center" wrapText="1"/>
    </xf>
    <xf numFmtId="0" fontId="2" fillId="0" borderId="0" xfId="0" applyFont="1" applyAlignment="1">
      <alignment horizontal="left" wrapText="1"/>
    </xf>
    <xf numFmtId="0" fontId="3" fillId="0" borderId="0" xfId="0" applyFont="1" applyAlignment="1">
      <alignment horizontal="left" vertical="center" wrapText="1"/>
    </xf>
    <xf numFmtId="0" fontId="48" fillId="0" borderId="0" xfId="0" applyFont="1" applyAlignment="1">
      <alignment horizontal="left" wrapText="1"/>
    </xf>
    <xf numFmtId="0" fontId="0" fillId="0" borderId="0" xfId="0" applyAlignment="1">
      <alignment vertical="top"/>
    </xf>
    <xf numFmtId="165" fontId="0" fillId="0" borderId="0" xfId="0" applyNumberFormat="1" applyAlignment="1">
      <alignment vertical="top"/>
    </xf>
    <xf numFmtId="0" fontId="0" fillId="0" borderId="21" xfId="0" applyBorder="1" applyAlignment="1">
      <alignment vertical="top"/>
    </xf>
    <xf numFmtId="0" fontId="0" fillId="20" borderId="0" xfId="0" applyFill="1" applyAlignment="1">
      <alignment vertical="top" wrapText="1"/>
    </xf>
    <xf numFmtId="0" fontId="0" fillId="17" borderId="0" xfId="0" applyFill="1" applyAlignment="1">
      <alignment vertical="top" wrapText="1"/>
    </xf>
    <xf numFmtId="0" fontId="11" fillId="6" borderId="21" xfId="0" applyFont="1" applyFill="1" applyBorder="1" applyAlignment="1">
      <alignment horizontal="center" vertical="top" wrapText="1"/>
    </xf>
    <xf numFmtId="0" fontId="0" fillId="20" borderId="22" xfId="0" applyFill="1" applyBorder="1" applyAlignment="1">
      <alignment vertical="top" wrapText="1"/>
    </xf>
    <xf numFmtId="0" fontId="0" fillId="20" borderId="22" xfId="0" applyFill="1" applyBorder="1" applyAlignment="1">
      <alignment horizontal="center" vertical="top" wrapText="1"/>
    </xf>
    <xf numFmtId="0" fontId="0" fillId="17" borderId="22" xfId="0" applyFill="1" applyBorder="1" applyAlignment="1">
      <alignment vertical="top" wrapText="1"/>
    </xf>
    <xf numFmtId="0" fontId="0" fillId="17" borderId="22" xfId="0" applyFill="1" applyBorder="1" applyAlignment="1">
      <alignment horizontal="center" vertical="top" wrapText="1"/>
    </xf>
    <xf numFmtId="0" fontId="0" fillId="0" borderId="22" xfId="0" applyBorder="1" applyAlignment="1">
      <alignment vertical="top"/>
    </xf>
    <xf numFmtId="0" fontId="11" fillId="6" borderId="22" xfId="0" applyFont="1" applyFill="1" applyBorder="1" applyAlignment="1">
      <alignment horizontal="center" vertical="top" wrapText="1"/>
    </xf>
    <xf numFmtId="0" fontId="0" fillId="20" borderId="22" xfId="0" applyFill="1" applyBorder="1" applyAlignment="1">
      <alignment vertical="top"/>
    </xf>
    <xf numFmtId="0" fontId="0" fillId="17" borderId="22" xfId="0" applyFill="1" applyBorder="1" applyAlignment="1">
      <alignment vertical="top"/>
    </xf>
    <xf numFmtId="0" fontId="0" fillId="17" borderId="23" xfId="0" applyFill="1" applyBorder="1" applyAlignment="1">
      <alignment horizontal="center" vertical="top" wrapText="1"/>
    </xf>
    <xf numFmtId="0" fontId="0" fillId="17" borderId="23" xfId="0" applyFill="1" applyBorder="1" applyAlignment="1">
      <alignment vertical="top" wrapText="1"/>
    </xf>
    <xf numFmtId="0" fontId="0" fillId="17" borderId="23" xfId="0" applyFill="1" applyBorder="1" applyAlignment="1">
      <alignment vertical="top"/>
    </xf>
    <xf numFmtId="0" fontId="70" fillId="0" borderId="0" xfId="0" applyFont="1"/>
    <xf numFmtId="0" fontId="11" fillId="6" borderId="21" xfId="0" applyFont="1" applyFill="1" applyBorder="1" applyAlignment="1">
      <alignment horizontal="center" wrapText="1"/>
    </xf>
    <xf numFmtId="0" fontId="70" fillId="20" borderId="22" xfId="0" applyFont="1" applyFill="1" applyBorder="1" applyAlignment="1">
      <alignment horizontal="center" vertical="top" wrapText="1"/>
    </xf>
    <xf numFmtId="166" fontId="0" fillId="20" borderId="22" xfId="0" applyNumberFormat="1" applyFill="1" applyBorder="1" applyAlignment="1">
      <alignment horizontal="center" vertical="top" wrapText="1"/>
    </xf>
    <xf numFmtId="0" fontId="70" fillId="17" borderId="22" xfId="0" applyFont="1" applyFill="1" applyBorder="1" applyAlignment="1">
      <alignment horizontal="center" vertical="top" wrapText="1"/>
    </xf>
    <xf numFmtId="166" fontId="0" fillId="17" borderId="22" xfId="0" applyNumberFormat="1" applyFill="1" applyBorder="1" applyAlignment="1">
      <alignment horizontal="center" vertical="top" wrapText="1"/>
    </xf>
    <xf numFmtId="0" fontId="71" fillId="17" borderId="22" xfId="0" applyFont="1" applyFill="1" applyBorder="1" applyAlignment="1">
      <alignment horizontal="center" vertical="top" wrapText="1"/>
    </xf>
    <xf numFmtId="0" fontId="71" fillId="20" borderId="22" xfId="0" applyFont="1" applyFill="1" applyBorder="1" applyAlignment="1">
      <alignment horizontal="center" vertical="top" wrapText="1"/>
    </xf>
    <xf numFmtId="0" fontId="71" fillId="17" borderId="23" xfId="0" applyFont="1" applyFill="1" applyBorder="1" applyAlignment="1">
      <alignment horizontal="center" vertical="top" wrapText="1"/>
    </xf>
    <xf numFmtId="166" fontId="0" fillId="17" borderId="23" xfId="0" applyNumberFormat="1" applyFill="1" applyBorder="1" applyAlignment="1">
      <alignment horizontal="center" vertical="top" wrapText="1"/>
    </xf>
    <xf numFmtId="0" fontId="11" fillId="6" borderId="0" xfId="0" applyFont="1" applyFill="1" applyAlignment="1">
      <alignment wrapText="1"/>
    </xf>
    <xf numFmtId="0" fontId="33" fillId="6" borderId="0" xfId="0" applyFont="1" applyFill="1" applyAlignment="1">
      <alignment wrapText="1"/>
    </xf>
    <xf numFmtId="0" fontId="2" fillId="17" borderId="0" xfId="0" applyFont="1" applyFill="1" applyAlignment="1">
      <alignment vertical="top" wrapText="1"/>
    </xf>
    <xf numFmtId="0" fontId="2" fillId="0" borderId="2" xfId="0" applyFont="1" applyBorder="1"/>
    <xf numFmtId="0" fontId="3" fillId="0" borderId="2" xfId="0" applyFont="1" applyBorder="1" applyAlignment="1">
      <alignment vertical="center"/>
    </xf>
    <xf numFmtId="0" fontId="3" fillId="2" borderId="2" xfId="0" applyFont="1" applyFill="1" applyBorder="1" applyAlignment="1">
      <alignment horizontal="center" vertical="center"/>
    </xf>
    <xf numFmtId="0" fontId="2" fillId="0" borderId="2" xfId="0" applyFont="1" applyBorder="1" applyAlignment="1">
      <alignment horizontal="left" vertical="center"/>
    </xf>
    <xf numFmtId="0" fontId="2" fillId="0" borderId="2" xfId="0" applyFont="1" applyBorder="1" applyAlignment="1">
      <alignment vertical="center"/>
    </xf>
    <xf numFmtId="0" fontId="9" fillId="0" borderId="2" xfId="1" applyFont="1" applyBorder="1" applyAlignment="1">
      <alignment horizontal="left" vertical="center"/>
    </xf>
    <xf numFmtId="0" fontId="2" fillId="5" borderId="2" xfId="0" applyFont="1" applyFill="1" applyBorder="1"/>
    <xf numFmtId="0" fontId="2" fillId="0" borderId="2" xfId="0" applyFont="1" applyBorder="1" applyAlignment="1">
      <alignment horizontal="left" vertical="top" wrapText="1"/>
    </xf>
    <xf numFmtId="0" fontId="2" fillId="0" borderId="2" xfId="0" applyFont="1" applyBorder="1" applyAlignment="1">
      <alignment vertical="top" wrapText="1"/>
    </xf>
    <xf numFmtId="9" fontId="2" fillId="0" borderId="2" xfId="0" applyNumberFormat="1" applyFont="1" applyBorder="1" applyAlignment="1">
      <alignment vertical="center"/>
    </xf>
    <xf numFmtId="0" fontId="12" fillId="6" borderId="0" xfId="0" applyFont="1" applyFill="1" applyAlignment="1">
      <alignment vertical="center" wrapText="1"/>
    </xf>
    <xf numFmtId="0" fontId="14" fillId="0" borderId="0" xfId="0" applyFont="1" applyAlignment="1">
      <alignment wrapText="1"/>
    </xf>
    <xf numFmtId="0" fontId="16" fillId="9" borderId="0" xfId="0" applyFont="1" applyFill="1" applyAlignment="1">
      <alignment wrapText="1"/>
    </xf>
    <xf numFmtId="0" fontId="13" fillId="0" borderId="0" xfId="0" applyFont="1" applyAlignment="1">
      <alignment wrapText="1"/>
    </xf>
    <xf numFmtId="0" fontId="11" fillId="7" borderId="0" xfId="0" applyFont="1" applyFill="1" applyAlignment="1">
      <alignment vertical="center" wrapText="1"/>
    </xf>
    <xf numFmtId="0" fontId="61" fillId="20" borderId="10" xfId="0" applyFont="1" applyFill="1" applyBorder="1" applyAlignment="1">
      <alignment horizontal="center" vertical="top" readingOrder="1"/>
    </xf>
    <xf numFmtId="0" fontId="61" fillId="20" borderId="11" xfId="0" applyFont="1" applyFill="1" applyBorder="1" applyAlignment="1">
      <alignment horizontal="center" vertical="top" readingOrder="1"/>
    </xf>
    <xf numFmtId="0" fontId="61" fillId="20" borderId="12" xfId="0" applyFont="1" applyFill="1" applyBorder="1" applyAlignment="1">
      <alignment horizontal="center" vertical="top" readingOrder="1"/>
    </xf>
    <xf numFmtId="0" fontId="61" fillId="25" borderId="16" xfId="0" applyFont="1" applyFill="1" applyBorder="1" applyAlignment="1">
      <alignment horizontal="center" vertical="center" readingOrder="1"/>
    </xf>
    <xf numFmtId="0" fontId="61" fillId="25" borderId="17" xfId="0" applyFont="1" applyFill="1" applyBorder="1" applyAlignment="1">
      <alignment horizontal="center" vertical="center" readingOrder="1"/>
    </xf>
    <xf numFmtId="0" fontId="61" fillId="25" borderId="18" xfId="0" applyFont="1" applyFill="1" applyBorder="1" applyAlignment="1">
      <alignment horizontal="center" vertical="center" readingOrder="1"/>
    </xf>
    <xf numFmtId="9" fontId="61" fillId="25" borderId="16" xfId="0" applyNumberFormat="1" applyFont="1" applyFill="1" applyBorder="1" applyAlignment="1">
      <alignment horizontal="center" vertical="center" readingOrder="1"/>
    </xf>
    <xf numFmtId="9" fontId="61" fillId="25" borderId="18" xfId="0" applyNumberFormat="1" applyFont="1" applyFill="1" applyBorder="1" applyAlignment="1">
      <alignment horizontal="center" vertical="center" readingOrder="1"/>
    </xf>
    <xf numFmtId="0" fontId="15" fillId="0" borderId="3" xfId="0" applyFont="1" applyBorder="1" applyAlignment="1">
      <alignment vertical="top" wrapText="1"/>
    </xf>
    <xf numFmtId="0" fontId="12" fillId="6" borderId="0" xfId="0" applyFont="1" applyFill="1" applyAlignment="1">
      <alignment vertical="center"/>
    </xf>
    <xf numFmtId="0" fontId="16" fillId="9" borderId="0" xfId="0" applyFont="1" applyFill="1" applyAlignment="1">
      <alignment vertical="center" wrapText="1"/>
    </xf>
    <xf numFmtId="0" fontId="11" fillId="7" borderId="0" xfId="0" applyFont="1" applyFill="1" applyAlignment="1">
      <alignment vertical="center"/>
    </xf>
    <xf numFmtId="0" fontId="21" fillId="13" borderId="0" xfId="0" applyFont="1" applyFill="1" applyAlignment="1">
      <alignment vertical="center" wrapText="1"/>
    </xf>
    <xf numFmtId="0" fontId="22" fillId="9" borderId="0" xfId="0" applyFont="1" applyFill="1" applyAlignment="1">
      <alignment vertical="center" wrapText="1"/>
    </xf>
    <xf numFmtId="0" fontId="1" fillId="13" borderId="0" xfId="0" applyFont="1" applyFill="1" applyAlignment="1">
      <alignment vertical="center" wrapText="1"/>
    </xf>
    <xf numFmtId="0" fontId="11" fillId="7" borderId="0" xfId="0" applyFont="1" applyFill="1" applyAlignment="1">
      <alignment wrapText="1"/>
    </xf>
    <xf numFmtId="0" fontId="25" fillId="0" borderId="0" xfId="0" applyFont="1" applyAlignment="1">
      <alignment wrapText="1"/>
    </xf>
    <xf numFmtId="0" fontId="0" fillId="9" borderId="0" xfId="0" applyFill="1" applyAlignment="1">
      <alignment vertical="center" wrapText="1"/>
    </xf>
    <xf numFmtId="0" fontId="25" fillId="0" borderId="0" xfId="0" applyFont="1" applyAlignment="1">
      <alignment vertical="center" wrapText="1"/>
    </xf>
    <xf numFmtId="0" fontId="17" fillId="0" borderId="3" xfId="0" applyFont="1" applyBorder="1" applyAlignment="1">
      <alignment vertical="top" wrapText="1"/>
    </xf>
    <xf numFmtId="0" fontId="11" fillId="8" borderId="4" xfId="0" applyFont="1" applyFill="1" applyBorder="1" applyAlignment="1">
      <alignment horizontal="center" vertical="center" wrapText="1"/>
    </xf>
    <xf numFmtId="0" fontId="20" fillId="0" borderId="3" xfId="0" applyFont="1" applyBorder="1" applyAlignment="1">
      <alignment vertical="top" wrapText="1"/>
    </xf>
    <xf numFmtId="0" fontId="24" fillId="0" borderId="3" xfId="0" applyFont="1" applyBorder="1" applyAlignment="1">
      <alignment vertical="top" wrapText="1"/>
    </xf>
    <xf numFmtId="0" fontId="23" fillId="0" borderId="3" xfId="0" applyFont="1" applyBorder="1" applyAlignment="1">
      <alignment vertical="top" wrapText="1"/>
    </xf>
    <xf numFmtId="0" fontId="36" fillId="0" borderId="3" xfId="0" applyFont="1" applyBorder="1" applyAlignment="1">
      <alignment vertical="top" wrapText="1"/>
    </xf>
    <xf numFmtId="0" fontId="0" fillId="0" borderId="0" xfId="0" applyAlignment="1">
      <alignment wrapText="1"/>
    </xf>
    <xf numFmtId="0" fontId="37" fillId="6" borderId="0" xfId="0" applyFont="1" applyFill="1" applyAlignment="1">
      <alignment vertical="top"/>
    </xf>
    <xf numFmtId="0" fontId="0" fillId="0" borderId="0" xfId="0" applyAlignment="1">
      <alignment vertical="top"/>
    </xf>
    <xf numFmtId="0" fontId="14" fillId="0" borderId="0" xfId="0" applyFont="1" applyAlignment="1">
      <alignment vertical="top"/>
    </xf>
    <xf numFmtId="0" fontId="69" fillId="17" borderId="0" xfId="0" applyFont="1" applyFill="1" applyAlignment="1">
      <alignment vertical="top" wrapText="1"/>
    </xf>
    <xf numFmtId="0" fontId="11" fillId="7" borderId="0" xfId="0" applyFont="1" applyFill="1" applyAlignment="1">
      <alignment vertical="top"/>
    </xf>
    <xf numFmtId="0" fontId="11" fillId="7" borderId="22" xfId="0" applyFont="1" applyFill="1" applyBorder="1" applyAlignment="1">
      <alignment vertical="top"/>
    </xf>
    <xf numFmtId="0" fontId="0" fillId="0" borderId="22" xfId="0" applyBorder="1" applyAlignment="1">
      <alignment vertical="top"/>
    </xf>
    <xf numFmtId="0" fontId="0" fillId="17" borderId="0" xfId="0" applyFill="1" applyAlignment="1">
      <alignment wrapText="1"/>
    </xf>
    <xf numFmtId="0" fontId="43" fillId="17" borderId="0" xfId="0" applyFont="1" applyFill="1" applyAlignment="1">
      <alignment wrapText="1"/>
    </xf>
    <xf numFmtId="0" fontId="37" fillId="6" borderId="0" xfId="0" applyFont="1" applyFill="1" applyAlignment="1">
      <alignment wrapText="1"/>
    </xf>
    <xf numFmtId="0" fontId="32" fillId="7" borderId="0" xfId="0" applyFont="1" applyFill="1" applyAlignment="1">
      <alignment wrapText="1"/>
    </xf>
    <xf numFmtId="0" fontId="38" fillId="13" borderId="0" xfId="0" applyFont="1" applyFill="1" applyAlignment="1">
      <alignment wrapText="1"/>
    </xf>
    <xf numFmtId="0" fontId="40" fillId="12" borderId="0" xfId="0" applyFont="1" applyFill="1" applyAlignment="1">
      <alignment wrapText="1"/>
    </xf>
    <xf numFmtId="0" fontId="61" fillId="28" borderId="16" xfId="0" applyFont="1" applyFill="1" applyBorder="1" applyAlignment="1">
      <alignment horizontal="left" vertical="center" wrapText="1" readingOrder="1"/>
    </xf>
    <xf numFmtId="0" fontId="61" fillId="28" borderId="18" xfId="0" applyFont="1" applyFill="1" applyBorder="1" applyAlignment="1">
      <alignment horizontal="left" vertical="center" wrapText="1" readingOrder="1"/>
    </xf>
    <xf numFmtId="0" fontId="61" fillId="27" borderId="16" xfId="0" applyFont="1" applyFill="1" applyBorder="1" applyAlignment="1">
      <alignment horizontal="left" vertical="center" wrapText="1" readingOrder="1"/>
    </xf>
    <xf numFmtId="0" fontId="61" fillId="27" borderId="18" xfId="0" applyFont="1" applyFill="1" applyBorder="1" applyAlignment="1">
      <alignment horizontal="left" vertical="center" wrapText="1" readingOrder="1"/>
    </xf>
    <xf numFmtId="0" fontId="61" fillId="27" borderId="16" xfId="0" applyFont="1" applyFill="1" applyBorder="1" applyAlignment="1">
      <alignment horizontal="center" vertical="center" wrapText="1" readingOrder="1"/>
    </xf>
    <xf numFmtId="0" fontId="61" fillId="27" borderId="18" xfId="0" applyFont="1" applyFill="1" applyBorder="1" applyAlignment="1">
      <alignment horizontal="center" vertical="center" wrapText="1" readingOrder="1"/>
    </xf>
    <xf numFmtId="0" fontId="64" fillId="28" borderId="16" xfId="0" applyFont="1" applyFill="1" applyBorder="1" applyAlignment="1">
      <alignment vertical="top" wrapText="1"/>
    </xf>
    <xf numFmtId="0" fontId="64" fillId="28" borderId="18" xfId="0" applyFont="1" applyFill="1" applyBorder="1" applyAlignment="1">
      <alignment vertical="top" wrapText="1"/>
    </xf>
    <xf numFmtId="0" fontId="61" fillId="27" borderId="17" xfId="0" applyFont="1" applyFill="1" applyBorder="1" applyAlignment="1">
      <alignment horizontal="left" vertical="center" wrapText="1" readingOrder="1"/>
    </xf>
    <xf numFmtId="0" fontId="61" fillId="28" borderId="17" xfId="0" applyFont="1" applyFill="1" applyBorder="1" applyAlignment="1">
      <alignment horizontal="left" vertical="center" wrapText="1" readingOrder="1"/>
    </xf>
    <xf numFmtId="0" fontId="61" fillId="27" borderId="20" xfId="0" applyFont="1" applyFill="1" applyBorder="1" applyAlignment="1">
      <alignment horizontal="left" vertical="center" wrapText="1" readingOrder="1"/>
    </xf>
    <xf numFmtId="0" fontId="61" fillId="28" borderId="16" xfId="0" applyFont="1" applyFill="1" applyBorder="1" applyAlignment="1">
      <alignment horizontal="center" vertical="center" wrapText="1" readingOrder="1"/>
    </xf>
    <xf numFmtId="0" fontId="61" fillId="28" borderId="18" xfId="0" applyFont="1" applyFill="1" applyBorder="1" applyAlignment="1">
      <alignment horizontal="center" vertical="center" wrapText="1" readingOrder="1"/>
    </xf>
    <xf numFmtId="0" fontId="11" fillId="7" borderId="0" xfId="0" applyFont="1" applyFill="1" applyAlignment="1"/>
    <xf numFmtId="0" fontId="12" fillId="6" borderId="0" xfId="0" applyFont="1" applyFill="1" applyAlignment="1"/>
    <xf numFmtId="0" fontId="25" fillId="0" borderId="0" xfId="0" applyFont="1" applyAlignment="1"/>
    <xf numFmtId="0" fontId="0" fillId="0" borderId="0" xfId="0" applyAlignment="1"/>
    <xf numFmtId="0" fontId="32" fillId="6" borderId="0" xfId="0" applyFont="1" applyFill="1" applyAlignment="1"/>
    <xf numFmtId="0" fontId="37" fillId="6" borderId="0" xfId="0" applyFont="1" applyFill="1" applyAlignment="1"/>
    <xf numFmtId="0" fontId="13" fillId="0" borderId="0" xfId="0" applyFont="1" applyAlignment="1"/>
    <xf numFmtId="0" fontId="14" fillId="0" borderId="0" xfId="0" applyFont="1" applyAlignment="1"/>
    <xf numFmtId="0" fontId="32" fillId="7" borderId="0" xfId="0" applyFont="1" applyFill="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theme" Target="theme/theme1.xml"/><Relationship Id="rId58" Type="http://schemas.openxmlformats.org/officeDocument/2006/relationships/customXml" Target="../customXml/item2.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ustomXml" Target="../customXml/item3.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customXml" Target="../customXml/item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160</xdr:row>
      <xdr:rowOff>0</xdr:rowOff>
    </xdr:from>
    <xdr:to>
      <xdr:col>4</xdr:col>
      <xdr:colOff>113140</xdr:colOff>
      <xdr:row>178</xdr:row>
      <xdr:rowOff>144811</xdr:rowOff>
    </xdr:to>
    <xdr:pic>
      <xdr:nvPicPr>
        <xdr:cNvPr id="2" name="Picture 1">
          <a:extLst>
            <a:ext uri="{FF2B5EF4-FFF2-40B4-BE49-F238E27FC236}">
              <a16:creationId xmlns:a16="http://schemas.microsoft.com/office/drawing/2014/main" id="{4D13008A-3B64-4988-A637-FF444EB26F55}"/>
            </a:ext>
          </a:extLst>
        </xdr:cNvPr>
        <xdr:cNvPicPr>
          <a:picLocks noChangeAspect="1"/>
        </xdr:cNvPicPr>
      </xdr:nvPicPr>
      <xdr:blipFill>
        <a:blip xmlns:r="http://schemas.openxmlformats.org/officeDocument/2006/relationships" r:embed="rId1"/>
        <a:srcRect l="-120" r="120"/>
        <a:stretch>
          <a:fillRect/>
        </a:stretch>
      </xdr:blipFill>
      <xdr:spPr>
        <a:xfrm>
          <a:off x="1308100" y="38931850"/>
          <a:ext cx="8653890" cy="3116611"/>
        </a:xfrm>
        <a:prstGeom prst="rect">
          <a:avLst/>
        </a:prstGeom>
      </xdr:spPr>
    </xdr:pic>
    <xdr:clientData/>
  </xdr:twoCellAnchor>
  <xdr:twoCellAnchor>
    <xdr:from>
      <xdr:col>1</xdr:col>
      <xdr:colOff>0</xdr:colOff>
      <xdr:row>178</xdr:row>
      <xdr:rowOff>0</xdr:rowOff>
    </xdr:from>
    <xdr:to>
      <xdr:col>3</xdr:col>
      <xdr:colOff>1228245</xdr:colOff>
      <xdr:row>179</xdr:row>
      <xdr:rowOff>157482</xdr:rowOff>
    </xdr:to>
    <xdr:sp macro="" textlink="">
      <xdr:nvSpPr>
        <xdr:cNvPr id="3" name="TextBox 4">
          <a:extLst>
            <a:ext uri="{FF2B5EF4-FFF2-40B4-BE49-F238E27FC236}">
              <a16:creationId xmlns:a16="http://schemas.microsoft.com/office/drawing/2014/main" id="{7C9D65FD-8B7B-4ECB-A13E-9F89A04AEAAD}"/>
            </a:ext>
          </a:extLst>
        </xdr:cNvPr>
        <xdr:cNvSpPr txBox="1"/>
      </xdr:nvSpPr>
      <xdr:spPr>
        <a:xfrm>
          <a:off x="1308100" y="42246550"/>
          <a:ext cx="5406545" cy="341632"/>
        </a:xfrm>
        <a:prstGeom prst="rect">
          <a:avLst/>
        </a:prstGeom>
        <a:noFill/>
      </xdr:spPr>
      <xdr:txBody>
        <a:bodyPr wrap="square" rtlCol="0">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defTabSz="914378">
            <a:lnSpc>
              <a:spcPct val="90000"/>
            </a:lnSpc>
            <a:spcBef>
              <a:spcPct val="0"/>
            </a:spcBef>
          </a:pPr>
          <a:endParaRPr lang="en-IN" b="1">
            <a:latin typeface="Tenorite" pitchFamily="2"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41.xml.rels><?xml version="1.0" encoding="UTF-8" standalone="yes"?>
<Relationships xmlns="http://schemas.openxmlformats.org/package/2006/relationships"><Relationship Id="rId8" Type="http://schemas.openxmlformats.org/officeDocument/2006/relationships/hyperlink" Target="../../../../_layouts/15/Doc.aspx?sourcedoc=%7B0BD25D50-1EAC-4927-B1CF-579FBA80C487%7D&amp;file=Medical_Device_Business_Services_Inc_Mentor.xlsx&amp;action=default&amp;mobileredirect=true" TargetMode="External"/><Relationship Id="rId13" Type="http://schemas.openxmlformats.org/officeDocument/2006/relationships/hyperlink" Target="../../../../_layouts/15/Doc.aspx?sourcedoc=%7B0BD25D50-1EAC-4927-B1CF-579FBA80C487%7D&amp;file=Medical_Device_Business_Services_Inc_Mentor.xlsx&amp;action=default&amp;mobileredirect=true" TargetMode="External"/><Relationship Id="rId18" Type="http://schemas.openxmlformats.org/officeDocument/2006/relationships/hyperlink" Target="../../../../_layouts/15/Doc.aspx?sourcedoc=%7B0BD25D50-1EAC-4927-B1CF-579FBA80C487%7D&amp;file=Medical_Device_Business_Services_Inc_Mentor.xlsx&amp;action=default&amp;mobileredirect=true" TargetMode="External"/><Relationship Id="rId26" Type="http://schemas.openxmlformats.org/officeDocument/2006/relationships/hyperlink" Target="../../../../_layouts/15/Doc.aspx?sourcedoc=%7B0BD25D50-1EAC-4927-B1CF-579FBA80C487%7D&amp;file=Medical_Device_Business_Services_Inc_Mentor.xlsx&amp;action=default&amp;mobileredirect=true" TargetMode="External"/><Relationship Id="rId3" Type="http://schemas.openxmlformats.org/officeDocument/2006/relationships/hyperlink" Target="https://wipro365-my.sharepoint.com/personal/su20278582_wipro_com/Documents/Microsoft%20Copilot%20Chat%20Files/MEntor-Wipro%20Work%20Order%20Final%20-%20signed.pdf" TargetMode="External"/><Relationship Id="rId21" Type="http://schemas.openxmlformats.org/officeDocument/2006/relationships/hyperlink" Target="../../../../_layouts/15/Doc.aspx?sourcedoc=%7B0BD25D50-1EAC-4927-B1CF-579FBA80C487%7D&amp;file=Medical_Device_Business_Services_Inc_Mentor.xlsx&amp;action=default&amp;mobileredirect=true" TargetMode="External"/><Relationship Id="rId7" Type="http://schemas.openxmlformats.org/officeDocument/2006/relationships/hyperlink" Target="../../../../_layouts/15/Doc.aspx?sourcedoc=%7B0BD25D50-1EAC-4927-B1CF-579FBA80C487%7D&amp;file=Medical_Device_Business_Services_Inc_Mentor.xlsx&amp;action=default&amp;mobileredirect=true" TargetMode="External"/><Relationship Id="rId12" Type="http://schemas.openxmlformats.org/officeDocument/2006/relationships/hyperlink" Target="../../../../_layouts/15/Doc.aspx?sourcedoc=%7B0BD25D50-1EAC-4927-B1CF-579FBA80C487%7D&amp;file=Medical_Device_Business_Services_Inc_Mentor.xlsx&amp;action=default&amp;mobileredirect=true" TargetMode="External"/><Relationship Id="rId17" Type="http://schemas.openxmlformats.org/officeDocument/2006/relationships/hyperlink" Target="../../../../_layouts/15/Doc.aspx?sourcedoc=%7B0BD25D50-1EAC-4927-B1CF-579FBA80C487%7D&amp;file=Medical_Device_Business_Services_Inc_Mentor.xlsx&amp;action=default&amp;mobileredirect=true" TargetMode="External"/><Relationship Id="rId25" Type="http://schemas.openxmlformats.org/officeDocument/2006/relationships/hyperlink" Target="../../../../_layouts/15/Doc.aspx?sourcedoc=%7B0BD25D50-1EAC-4927-B1CF-579FBA80C487%7D&amp;file=Medical_Device_Business_Services_Inc_Mentor.xlsx&amp;action=default&amp;mobileredirect=true" TargetMode="External"/><Relationship Id="rId2" Type="http://schemas.openxmlformats.org/officeDocument/2006/relationships/hyperlink" Target="https://wipro365-my.sharepoint.com/personal/su20278582_wipro_com/Documents/Microsoft%20Copilot%20Chat%20Files/MEntor-Wipro%20Work%20Order%20Final%20-%20signed.pdf" TargetMode="External"/><Relationship Id="rId16" Type="http://schemas.openxmlformats.org/officeDocument/2006/relationships/hyperlink" Target="../../../../_layouts/15/Doc.aspx?sourcedoc=%7B0BD25D50-1EAC-4927-B1CF-579FBA80C487%7D&amp;file=Medical_Device_Business_Services_Inc_Mentor.xlsx&amp;action=default&amp;mobileredirect=true" TargetMode="External"/><Relationship Id="rId20" Type="http://schemas.openxmlformats.org/officeDocument/2006/relationships/hyperlink" Target="../../../../_layouts/15/Doc.aspx?sourcedoc=%7B0BD25D50-1EAC-4927-B1CF-579FBA80C487%7D&amp;file=Medical_Device_Business_Services_Inc_Mentor.xlsx&amp;action=default&amp;mobileredirect=true" TargetMode="External"/><Relationship Id="rId1" Type="http://schemas.openxmlformats.org/officeDocument/2006/relationships/hyperlink" Target="https://wipro365-my.sharepoint.com/personal/su20278582_wipro_com/Documents/Microsoft%20Copilot%20Chat%20Files/MEntor-Wipro%20Work%20Order%20Final%20-%20signed.pdf" TargetMode="External"/><Relationship Id="rId6" Type="http://schemas.openxmlformats.org/officeDocument/2006/relationships/hyperlink" Target="../../../../_layouts/15/Doc.aspx?sourcedoc=%7B0BD25D50-1EAC-4927-B1CF-579FBA80C487%7D&amp;file=Medical_Device_Business_Services_Inc_Mentor.xlsx&amp;action=default&amp;mobileredirect=true" TargetMode="External"/><Relationship Id="rId11" Type="http://schemas.openxmlformats.org/officeDocument/2006/relationships/hyperlink" Target="../../../../_layouts/15/Doc.aspx?sourcedoc=%7B0BD25D50-1EAC-4927-B1CF-579FBA80C487%7D&amp;file=Medical_Device_Business_Services_Inc_Mentor.xlsx&amp;action=default&amp;mobileredirect=true" TargetMode="External"/><Relationship Id="rId24" Type="http://schemas.openxmlformats.org/officeDocument/2006/relationships/hyperlink" Target="../../../../_layouts/15/Doc.aspx?sourcedoc=%7B0BD25D50-1EAC-4927-B1CF-579FBA80C487%7D&amp;file=Medical_Device_Business_Services_Inc_Mentor.xlsx&amp;action=default&amp;mobileredirect=true" TargetMode="External"/><Relationship Id="rId5" Type="http://schemas.openxmlformats.org/officeDocument/2006/relationships/hyperlink" Target="https://wipro365-my.sharepoint.com/personal/su20278582_wipro_com/Documents/Microsoft%20Copilot%20Chat%20Files/MEntor-Wipro%20Work%20Order%20Final%20-%20signed.pdf" TargetMode="External"/><Relationship Id="rId15" Type="http://schemas.openxmlformats.org/officeDocument/2006/relationships/hyperlink" Target="../../../../_layouts/15/Doc.aspx?sourcedoc=%7B0BD25D50-1EAC-4927-B1CF-579FBA80C487%7D&amp;file=Medical_Device_Business_Services_Inc_Mentor.xlsx&amp;action=default&amp;mobileredirect=true" TargetMode="External"/><Relationship Id="rId23" Type="http://schemas.openxmlformats.org/officeDocument/2006/relationships/hyperlink" Target="../../../../_layouts/15/Doc.aspx?sourcedoc=%7B0BD25D50-1EAC-4927-B1CF-579FBA80C487%7D&amp;file=Medical_Device_Business_Services_Inc_Mentor.xlsx&amp;action=default&amp;mobileredirect=true" TargetMode="External"/><Relationship Id="rId10" Type="http://schemas.openxmlformats.org/officeDocument/2006/relationships/hyperlink" Target="../../../../_layouts/15/Doc.aspx?sourcedoc=%7B0BD25D50-1EAC-4927-B1CF-579FBA80C487%7D&amp;file=Medical_Device_Business_Services_Inc_Mentor.xlsx&amp;action=default&amp;mobileredirect=true" TargetMode="External"/><Relationship Id="rId19" Type="http://schemas.openxmlformats.org/officeDocument/2006/relationships/hyperlink" Target="../../../../_layouts/15/Doc.aspx?sourcedoc=%7B0BD25D50-1EAC-4927-B1CF-579FBA80C487%7D&amp;file=Medical_Device_Business_Services_Inc_Mentor.xlsx&amp;action=default&amp;mobileredirect=true" TargetMode="External"/><Relationship Id="rId4" Type="http://schemas.openxmlformats.org/officeDocument/2006/relationships/hyperlink" Target="https://wipro365-my.sharepoint.com/personal/su20278582_wipro_com/Documents/Microsoft%20Copilot%20Chat%20Files/MEntor-Wipro%20Work%20Order%20Final%20-%20signed.pdf" TargetMode="External"/><Relationship Id="rId9" Type="http://schemas.openxmlformats.org/officeDocument/2006/relationships/hyperlink" Target="../../../../_layouts/15/Doc.aspx?sourcedoc=%7B0BD25D50-1EAC-4927-B1CF-579FBA80C487%7D&amp;file=Medical_Device_Business_Services_Inc_Mentor.xlsx&amp;action=default&amp;mobileredirect=true" TargetMode="External"/><Relationship Id="rId14" Type="http://schemas.openxmlformats.org/officeDocument/2006/relationships/hyperlink" Target="../../../../_layouts/15/Doc.aspx?sourcedoc=%7B0BD25D50-1EAC-4927-B1CF-579FBA80C487%7D&amp;file=Medical_Device_Business_Services_Inc_Mentor.xlsx&amp;action=default&amp;mobileredirect=true" TargetMode="External"/><Relationship Id="rId22" Type="http://schemas.openxmlformats.org/officeDocument/2006/relationships/hyperlink" Target="../../../../_layouts/15/Doc.aspx?sourcedoc=%7B0BD25D50-1EAC-4927-B1CF-579FBA80C487%7D&amp;file=Medical_Device_Business_Services_Inc_Mentor.xlsx&amp;action=default&amp;mobileredirect=true" TargetMode="External"/><Relationship Id="rId27" Type="http://schemas.openxmlformats.org/officeDocument/2006/relationships/hyperlink" Target="../../../../_layouts/15/Doc.aspx?sourcedoc=%7B0BD25D50-1EAC-4927-B1CF-579FBA80C487%7D&amp;file=Medical_Device_Business_Services_Inc_Mentor.xlsx&amp;action=default&amp;mobileredirect=true" TargetMode="External"/></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45.xml.rels><?xml version="1.0" encoding="UTF-8" standalone="yes"?>
<Relationships xmlns="http://schemas.openxmlformats.org/package/2006/relationships"><Relationship Id="rId3" Type="http://schemas.openxmlformats.org/officeDocument/2006/relationships/hyperlink" Target="https://wipro365-my.sharepoint.com/personal/su20278582_wipro_com/_layouts/15/Doc.aspx?sourcedoc=%7B9569910D-036C-4928-8E5D-08EF1643B517%7D&amp;file=Overall%20Architecture%20-%20Copy.docx&amp;action=default&amp;mobileredirect=true" TargetMode="External"/><Relationship Id="rId7" Type="http://schemas.openxmlformats.org/officeDocument/2006/relationships/hyperlink" Target="https://wipro365-my.sharepoint.com/personal/su20278582_wipro_com/_layouts/15/Doc.aspx?sourcedoc=%7B9569910D-036C-4928-8E5D-08EF1643B517%7D&amp;file=Overall%20Architecture%20-%20Copy.docx&amp;action=default&amp;mobileredirect=true" TargetMode="External"/><Relationship Id="rId2" Type="http://schemas.openxmlformats.org/officeDocument/2006/relationships/hyperlink" Target="https://wipro365-my.sharepoint.com/personal/su20278582_wipro_com/_layouts/15/Doc.aspx?sourcedoc=%7B9569910D-036C-4928-8E5D-08EF1643B517%7D&amp;file=Overall%20Architecture%20-%20Copy.docx&amp;action=default&amp;mobileredirect=true" TargetMode="External"/><Relationship Id="rId1" Type="http://schemas.openxmlformats.org/officeDocument/2006/relationships/hyperlink" Target="https://wipro365-my.sharepoint.com/personal/su20278582_wipro_com/_layouts/15/Doc.aspx?sourcedoc=%7B9569910D-036C-4928-8E5D-08EF1643B517%7D&amp;file=Overall%20Architecture%20-%20Copy.docx&amp;action=default&amp;mobileredirect=true" TargetMode="External"/><Relationship Id="rId6" Type="http://schemas.openxmlformats.org/officeDocument/2006/relationships/hyperlink" Target="https://wipro365-my.sharepoint.com/personal/su20278582_wipro_com/_layouts/15/Doc.aspx?sourcedoc=%7B9569910D-036C-4928-8E5D-08EF1643B517%7D&amp;file=Overall%20Architecture%20-%20Copy.docx&amp;action=default&amp;mobileredirect=true" TargetMode="External"/><Relationship Id="rId5" Type="http://schemas.openxmlformats.org/officeDocument/2006/relationships/hyperlink" Target="https://wipro365-my.sharepoint.com/personal/su20278582_wipro_com/_layouts/15/Doc.aspx?sourcedoc=%7B9569910D-036C-4928-8E5D-08EF1643B517%7D&amp;file=Overall%20Architecture%20-%20Copy.docx&amp;action=default&amp;mobileredirect=true" TargetMode="External"/><Relationship Id="rId4" Type="http://schemas.openxmlformats.org/officeDocument/2006/relationships/hyperlink" Target="https://wipro365-my.sharepoint.com/personal/su20278582_wipro_com/_layouts/15/Doc.aspx?sourcedoc=%7B9569910D-036C-4928-8E5D-08EF1643B517%7D&amp;file=Overall%20Architecture%20-%20Copy.docx&amp;action=default&amp;mobileredirect=true" TargetMode="External"/></Relationships>
</file>

<file path=xl/worksheets/_rels/sheet46.xml.rels><?xml version="1.0" encoding="UTF-8" standalone="yes"?>
<Relationships xmlns="http://schemas.openxmlformats.org/package/2006/relationships"><Relationship Id="rId8" Type="http://schemas.openxmlformats.org/officeDocument/2006/relationships/hyperlink" Target="https://wipro365-my.sharepoint.com/personal/su20278582_wipro_com/_layouts/15/Doc.aspx?sourcedoc=%7B9569910D-036C-4928-8E5D-08EF1643B517%7D&amp;file=Overall%20Architecture%20-%20Copy.docx&amp;action=default&amp;mobileredirect=true" TargetMode="External"/><Relationship Id="rId13" Type="http://schemas.openxmlformats.org/officeDocument/2006/relationships/hyperlink" Target="https://wipro365-my.sharepoint.com/personal/su20278582_wipro_com/_layouts/15/Doc.aspx?sourcedoc=%7B9569910D-036C-4928-8E5D-08EF1643B517%7D&amp;file=Overall%20Architecture%20-%20Copy.docx&amp;action=default&amp;mobileredirect=true" TargetMode="External"/><Relationship Id="rId3" Type="http://schemas.openxmlformats.org/officeDocument/2006/relationships/hyperlink" Target="https://wipro365-my.sharepoint.com/personal/su20278582_wipro_com/_layouts/15/Doc.aspx?sourcedoc=%7B9569910D-036C-4928-8E5D-08EF1643B517%7D&amp;file=Overall%20Architecture%20-%20Copy.docx&amp;action=default&amp;mobileredirect=true" TargetMode="External"/><Relationship Id="rId7" Type="http://schemas.openxmlformats.org/officeDocument/2006/relationships/hyperlink" Target="https://wipro365-my.sharepoint.com/personal/su20278582_wipro_com/_layouts/15/Doc.aspx?sourcedoc=%7B9569910D-036C-4928-8E5D-08EF1643B517%7D&amp;file=Overall%20Architecture%20-%20Copy.docx&amp;action=default&amp;mobileredirect=true" TargetMode="External"/><Relationship Id="rId12" Type="http://schemas.openxmlformats.org/officeDocument/2006/relationships/hyperlink" Target="https://wipro365-my.sharepoint.com/personal/su20278582_wipro_com/_layouts/15/Doc.aspx?sourcedoc=%7B9569910D-036C-4928-8E5D-08EF1643B517%7D&amp;file=Overall%20Architecture%20-%20Copy.docx&amp;action=default&amp;mobileredirect=true" TargetMode="External"/><Relationship Id="rId2" Type="http://schemas.openxmlformats.org/officeDocument/2006/relationships/hyperlink" Target="https://wipro365-my.sharepoint.com/personal/su20278582_wipro_com/_layouts/15/Doc.aspx?sourcedoc=%7B9569910D-036C-4928-8E5D-08EF1643B517%7D&amp;file=Overall%20Architecture%20-%20Copy.docx&amp;action=default&amp;mobileredirect=true" TargetMode="External"/><Relationship Id="rId1" Type="http://schemas.openxmlformats.org/officeDocument/2006/relationships/hyperlink" Target="https://wipro365-my.sharepoint.com/personal/su20278582_wipro_com/_layouts/15/Doc.aspx?sourcedoc=%7B9569910D-036C-4928-8E5D-08EF1643B517%7D&amp;file=Overall%20Architecture%20-%20Copy.docx&amp;action=default&amp;mobileredirect=true" TargetMode="External"/><Relationship Id="rId6" Type="http://schemas.openxmlformats.org/officeDocument/2006/relationships/hyperlink" Target="https://wipro365-my.sharepoint.com/personal/su20278582_wipro_com/_layouts/15/Doc.aspx?sourcedoc=%7B9569910D-036C-4928-8E5D-08EF1643B517%7D&amp;file=Overall%20Architecture%20-%20Copy.docx&amp;action=default&amp;mobileredirect=true" TargetMode="External"/><Relationship Id="rId11" Type="http://schemas.openxmlformats.org/officeDocument/2006/relationships/hyperlink" Target="https://wipro365-my.sharepoint.com/personal/su20278582_wipro_com/_layouts/15/Doc.aspx?sourcedoc=%7B9569910D-036C-4928-8E5D-08EF1643B517%7D&amp;file=Overall%20Architecture%20-%20Copy.docx&amp;action=default&amp;mobileredirect=true" TargetMode="External"/><Relationship Id="rId5" Type="http://schemas.openxmlformats.org/officeDocument/2006/relationships/hyperlink" Target="https://wipro365-my.sharepoint.com/personal/su20278582_wipro_com/_layouts/15/Doc.aspx?sourcedoc=%7B9569910D-036C-4928-8E5D-08EF1643B517%7D&amp;file=Overall%20Architecture%20-%20Copy.docx&amp;action=default&amp;mobileredirect=true" TargetMode="External"/><Relationship Id="rId10" Type="http://schemas.openxmlformats.org/officeDocument/2006/relationships/hyperlink" Target="https://wipro365-my.sharepoint.com/personal/su20278582_wipro_com/_layouts/15/Doc.aspx?sourcedoc=%7B9569910D-036C-4928-8E5D-08EF1643B517%7D&amp;file=Overall%20Architecture%20-%20Copy.docx&amp;action=default&amp;mobileredirect=true" TargetMode="External"/><Relationship Id="rId4" Type="http://schemas.openxmlformats.org/officeDocument/2006/relationships/hyperlink" Target="https://wipro365-my.sharepoint.com/personal/su20278582_wipro_com/_layouts/15/Doc.aspx?sourcedoc=%7B9569910D-036C-4928-8E5D-08EF1643B517%7D&amp;file=Overall%20Architecture%20-%20Copy.docx&amp;action=default&amp;mobileredirect=true" TargetMode="External"/><Relationship Id="rId9" Type="http://schemas.openxmlformats.org/officeDocument/2006/relationships/hyperlink" Target="https://wipro365-my.sharepoint.com/personal/su20278582_wipro_com/_layouts/15/Doc.aspx?sourcedoc=%7B9569910D-036C-4928-8E5D-08EF1643B517%7D&amp;file=Overall%20Architecture%20-%20Copy.docx&amp;action=default&amp;mobileredirect=true" TargetMode="External"/></Relationships>
</file>

<file path=xl/worksheets/_rels/sheet49.xml.rels><?xml version="1.0" encoding="UTF-8" standalone="yes"?>
<Relationships xmlns="http://schemas.openxmlformats.org/package/2006/relationships"><Relationship Id="rId8" Type="http://schemas.openxmlformats.org/officeDocument/2006/relationships/hyperlink" Target="https://wipro365-my.sharepoint.com/personal/su20278582_wipro_com/Documents/Microsoft%20Copilot%20Chat%20Files/MEntor-Wipro%20Work%20Order%20Final%20-%20signed.pdf" TargetMode="External"/><Relationship Id="rId13" Type="http://schemas.openxmlformats.org/officeDocument/2006/relationships/hyperlink" Target="https://wipro365-my.sharepoint.com/personal/su20278582_wipro_com/Documents/Microsoft%20Copilot%20Chat%20Files/MEntor-Wipro%20Work%20Order%20Final%20-%20signed.pdf" TargetMode="External"/><Relationship Id="rId18" Type="http://schemas.openxmlformats.org/officeDocument/2006/relationships/hyperlink" Target="https://wipro365-my.sharepoint.com/personal/su20278582_wipro_com/Documents/Microsoft%20Copilot%20Chat%20Files/MEntor-Wipro%20Work%20Order%20Final%20-%20signed.pdf" TargetMode="External"/><Relationship Id="rId3" Type="http://schemas.openxmlformats.org/officeDocument/2006/relationships/hyperlink" Target="https://wipro365-my.sharepoint.com/personal/su20278582_wipro_com/Documents/Microsoft%20Copilot%20Chat%20Files/MEntor-Wipro%20Work%20Order%20Final%20-%20signed.pdf" TargetMode="External"/><Relationship Id="rId21" Type="http://schemas.openxmlformats.org/officeDocument/2006/relationships/hyperlink" Target="https://wipro365-my.sharepoint.com/personal/su20278582_wipro_com/Documents/Microsoft%20Copilot%20Chat%20Files/MEntor-Wipro%20Work%20Order%20Final%20-%20signed.pdf" TargetMode="External"/><Relationship Id="rId7" Type="http://schemas.openxmlformats.org/officeDocument/2006/relationships/hyperlink" Target="https://wipro365-my.sharepoint.com/personal/su20278582_wipro_com/Documents/Microsoft%20Copilot%20Chat%20Files/MEntor-Wipro%20Work%20Order%20Final%20-%20signed.pdf" TargetMode="External"/><Relationship Id="rId12" Type="http://schemas.openxmlformats.org/officeDocument/2006/relationships/hyperlink" Target="https://wipro365-my.sharepoint.com/personal/su20278582_wipro_com/Documents/Microsoft%20Copilot%20Chat%20Files/MEntor-Wipro%20Work%20Order%20Final%20-%20signed.pdf" TargetMode="External"/><Relationship Id="rId17" Type="http://schemas.openxmlformats.org/officeDocument/2006/relationships/hyperlink" Target="https://wipro365-my.sharepoint.com/personal/su20278582_wipro_com/Documents/Microsoft%20Copilot%20Chat%20Files/MEntor-Wipro%20Work%20Order%20Final%20-%20signed.pdf" TargetMode="External"/><Relationship Id="rId2" Type="http://schemas.openxmlformats.org/officeDocument/2006/relationships/hyperlink" Target="https://wipro365-my.sharepoint.com/personal/su20278582_wipro_com/Documents/Microsoft%20Copilot%20Chat%20Files/MEntor-Wipro%20Work%20Order%20Final%20-%20signed.pdf" TargetMode="External"/><Relationship Id="rId16" Type="http://schemas.openxmlformats.org/officeDocument/2006/relationships/hyperlink" Target="https://wipro365-my.sharepoint.com/personal/su20278582_wipro_com/Documents/Microsoft%20Copilot%20Chat%20Files/MEntor-Wipro%20Work%20Order%20Final%20-%20signed.pdf" TargetMode="External"/><Relationship Id="rId20" Type="http://schemas.openxmlformats.org/officeDocument/2006/relationships/hyperlink" Target="https://wipro365-my.sharepoint.com/personal/su20278582_wipro_com/Documents/Microsoft%20Copilot%20Chat%20Files/MEntor-Wipro%20Work%20Order%20Final%20-%20signed.pdf" TargetMode="External"/><Relationship Id="rId1" Type="http://schemas.openxmlformats.org/officeDocument/2006/relationships/hyperlink" Target="https://wipro365-my.sharepoint.com/personal/su20278582_wipro_com/Documents/Microsoft%20Copilot%20Chat%20Files/MEntor-Wipro%20Work%20Order%20Final%20-%20signed.pdf" TargetMode="External"/><Relationship Id="rId6" Type="http://schemas.openxmlformats.org/officeDocument/2006/relationships/hyperlink" Target="https://wipro365-my.sharepoint.com/personal/su20278582_wipro_com/Documents/Microsoft%20Copilot%20Chat%20Files/MEntor-Wipro%20Work%20Order%20Final%20-%20signed.pdf" TargetMode="External"/><Relationship Id="rId11" Type="http://schemas.openxmlformats.org/officeDocument/2006/relationships/hyperlink" Target="https://wipro365-my.sharepoint.com/personal/su20278582_wipro_com/Documents/Microsoft%20Copilot%20Chat%20Files/MEntor-Wipro%20Work%20Order%20Final%20-%20signed.pdf" TargetMode="External"/><Relationship Id="rId5" Type="http://schemas.openxmlformats.org/officeDocument/2006/relationships/hyperlink" Target="https://wipro365-my.sharepoint.com/personal/su20278582_wipro_com/Documents/Microsoft%20Copilot%20Chat%20Files/MEntor-Wipro%20Work%20Order%20Final%20-%20signed.pdf" TargetMode="External"/><Relationship Id="rId15" Type="http://schemas.openxmlformats.org/officeDocument/2006/relationships/hyperlink" Target="https://wipro365-my.sharepoint.com/personal/su20278582_wipro_com/Documents/Microsoft%20Copilot%20Chat%20Files/MEntor-Wipro%20Work%20Order%20Final%20-%20signed.pdf" TargetMode="External"/><Relationship Id="rId10" Type="http://schemas.openxmlformats.org/officeDocument/2006/relationships/hyperlink" Target="https://wipro365-my.sharepoint.com/personal/su20278582_wipro_com/Documents/Microsoft%20Copilot%20Chat%20Files/MEntor-Wipro%20Work%20Order%20Final%20-%20signed.pdf" TargetMode="External"/><Relationship Id="rId19" Type="http://schemas.openxmlformats.org/officeDocument/2006/relationships/hyperlink" Target="https://wipro365-my.sharepoint.com/personal/su20278582_wipro_com/Documents/Microsoft%20Copilot%20Chat%20Files/MEntor-Wipro%20Work%20Order%20Final%20-%20signed.pdf" TargetMode="External"/><Relationship Id="rId4" Type="http://schemas.openxmlformats.org/officeDocument/2006/relationships/hyperlink" Target="https://wipro365-my.sharepoint.com/personal/su20278582_wipro_com/Documents/Microsoft%20Copilot%20Chat%20Files/MEntor-Wipro%20Work%20Order%20Final%20-%20signed.pdf" TargetMode="External"/><Relationship Id="rId9" Type="http://schemas.openxmlformats.org/officeDocument/2006/relationships/hyperlink" Target="https://wipro365-my.sharepoint.com/personal/su20278582_wipro_com/Documents/Microsoft%20Copilot%20Chat%20Files/MEntor-Wipro%20Work%20Order%20Final%20-%20signed.pdf" TargetMode="External"/><Relationship Id="rId14" Type="http://schemas.openxmlformats.org/officeDocument/2006/relationships/hyperlink" Target="https://wipro365-my.sharepoint.com/personal/su20278582_wipro_com/Documents/Microsoft%20Copilot%20Chat%20Files/MEntor-Wipro%20Work%20Order%20Final%20-%20signed.pdf" TargetMode="External"/><Relationship Id="rId22" Type="http://schemas.openxmlformats.org/officeDocument/2006/relationships/hyperlink" Target="https://wipro365-my.sharepoint.com/personal/su20278582_wipro_com/Documents/Microsoft%20Copilot%20Chat%20Files/MEntor-Wipro%20Work%20Order%20Final%20-%20signed.pdf" TargetMode="External"/></Relationships>
</file>

<file path=xl/worksheets/_rels/sheet51.xml.rels><?xml version="1.0" encoding="UTF-8" standalone="yes"?>
<Relationships xmlns="http://schemas.openxmlformats.org/package/2006/relationships"><Relationship Id="rId8" Type="http://schemas.openxmlformats.org/officeDocument/2006/relationships/hyperlink" Target="https://wipro365-my.sharepoint.com/personal/su20278582_wipro_com/Documents/Microsoft%20Copilot%20Chat%20Files/MEntor-Wipro%20Work%20Order%20Final%20-%20signed.pdf" TargetMode="External"/><Relationship Id="rId3" Type="http://schemas.openxmlformats.org/officeDocument/2006/relationships/hyperlink" Target="https://wipro365-my.sharepoint.com/personal/su20278582_wipro_com/Documents/Microsoft%20Copilot%20Chat%20Files/MEntor-Wipro%20Work%20Order%20Final%20-%20signed.pdf" TargetMode="External"/><Relationship Id="rId7" Type="http://schemas.openxmlformats.org/officeDocument/2006/relationships/hyperlink" Target="https://wipro365-my.sharepoint.com/personal/su20278582_wipro_com/Documents/Microsoft%20Copilot%20Chat%20Files/MEntor-Wipro%20Work%20Order%20Final%20-%20signed.pdf" TargetMode="External"/><Relationship Id="rId12" Type="http://schemas.openxmlformats.org/officeDocument/2006/relationships/printerSettings" Target="../printerSettings/printerSettings9.bin"/><Relationship Id="rId2" Type="http://schemas.openxmlformats.org/officeDocument/2006/relationships/hyperlink" Target="https://wipro365-my.sharepoint.com/personal/su20278582_wipro_com/Documents/Microsoft%20Copilot%20Chat%20Files/MEntor-Wipro%20Work%20Order%20Final%20-%20signed.pdf" TargetMode="External"/><Relationship Id="rId1" Type="http://schemas.openxmlformats.org/officeDocument/2006/relationships/hyperlink" Target="https://wipro365-my.sharepoint.com/personal/su20278582_wipro_com/Documents/Microsoft%20Copilot%20Chat%20Files/MEntor-Wipro%20Work%20Order%20Final%20-%20signed.pdf" TargetMode="External"/><Relationship Id="rId6" Type="http://schemas.openxmlformats.org/officeDocument/2006/relationships/hyperlink" Target="https://wipro365-my.sharepoint.com/personal/su20278582_wipro_com/Documents/Microsoft%20Copilot%20Chat%20Files/MEntor-Wipro%20Work%20Order%20Final%20-%20signed.pdf" TargetMode="External"/><Relationship Id="rId11" Type="http://schemas.openxmlformats.org/officeDocument/2006/relationships/hyperlink" Target="https://wipro365-my.sharepoint.com/personal/su20278582_wipro_com/Documents/Microsoft%20Copilot%20Chat%20Files/MEntor-Wipro%20Work%20Order%20Final%20-%20signed.pdf" TargetMode="External"/><Relationship Id="rId5" Type="http://schemas.openxmlformats.org/officeDocument/2006/relationships/hyperlink" Target="https://wipro365-my.sharepoint.com/personal/su20278582_wipro_com/Documents/Microsoft%20Copilot%20Chat%20Files/MEntor-Wipro%20Work%20Order%20Final%20-%20signed.pdf" TargetMode="External"/><Relationship Id="rId10" Type="http://schemas.openxmlformats.org/officeDocument/2006/relationships/hyperlink" Target="https://wipro365-my.sharepoint.com/personal/su20278582_wipro_com/Documents/Microsoft%20Copilot%20Chat%20Files/MEntor-Wipro%20Work%20Order%20Final%20-%20signed.pdf" TargetMode="External"/><Relationship Id="rId4" Type="http://schemas.openxmlformats.org/officeDocument/2006/relationships/hyperlink" Target="https://wipro365-my.sharepoint.com/personal/su20278582_wipro_com/Documents/Microsoft%20Copilot%20Chat%20Files/MEntor-Wipro%20Work%20Order%20Final%20-%20signed.pdf" TargetMode="External"/><Relationship Id="rId9" Type="http://schemas.openxmlformats.org/officeDocument/2006/relationships/hyperlink" Target="https://wipro365-my.sharepoint.com/personal/su20278582_wipro_com/Documents/Microsoft%20Copilot%20Chat%20Files/MEntor-Wipro%20Work%20Order%20Final%20-%20signed.pdf" TargetMode="External"/></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21E3D-25AB-4ECF-8D5C-6DDC2AB988E2}">
  <dimension ref="A1:E58"/>
  <sheetViews>
    <sheetView topLeftCell="B1" workbookViewId="0">
      <selection activeCell="I11" sqref="I11:J11"/>
    </sheetView>
  </sheetViews>
  <sheetFormatPr defaultColWidth="8.7109375" defaultRowHeight="14.45"/>
  <cols>
    <col min="1" max="1" width="8.140625" style="57" customWidth="1"/>
    <col min="2" max="2" width="29.140625" style="57" customWidth="1"/>
    <col min="3" max="3" width="22.7109375" style="57" customWidth="1"/>
    <col min="4" max="4" width="47.28515625" style="57" customWidth="1"/>
    <col min="5" max="5" width="29.140625" style="57" customWidth="1"/>
    <col min="6" max="16384" width="8.7109375" style="57"/>
  </cols>
  <sheetData>
    <row r="1" spans="1:5" ht="26.1">
      <c r="A1" s="298" t="s">
        <v>0</v>
      </c>
      <c r="B1" s="298"/>
      <c r="C1" s="298"/>
      <c r="D1" s="298"/>
      <c r="E1" s="298"/>
    </row>
    <row r="2" spans="1:5">
      <c r="A2" s="299" t="s">
        <v>1</v>
      </c>
      <c r="B2" s="299"/>
      <c r="C2" s="299"/>
      <c r="D2" s="299"/>
      <c r="E2" s="299"/>
    </row>
    <row r="4" spans="1:5">
      <c r="A4" s="300" t="s">
        <v>2</v>
      </c>
      <c r="B4" s="300"/>
      <c r="C4" s="300"/>
      <c r="D4" s="300"/>
      <c r="E4" s="300"/>
    </row>
    <row r="6" spans="1:5">
      <c r="A6" s="69" t="s">
        <v>3</v>
      </c>
      <c r="B6" s="69" t="s">
        <v>4</v>
      </c>
      <c r="C6" s="69" t="s">
        <v>5</v>
      </c>
      <c r="D6" s="69" t="s">
        <v>6</v>
      </c>
      <c r="E6" s="69" t="s">
        <v>7</v>
      </c>
    </row>
    <row r="7" spans="1:5" ht="24">
      <c r="A7" s="148">
        <v>1</v>
      </c>
      <c r="B7" s="149" t="s">
        <v>8</v>
      </c>
      <c r="C7" s="150" t="s">
        <v>9</v>
      </c>
      <c r="D7" s="85" t="s">
        <v>10</v>
      </c>
      <c r="E7" s="174" t="s">
        <v>11</v>
      </c>
    </row>
    <row r="8" spans="1:5" ht="24">
      <c r="A8" s="148">
        <v>2</v>
      </c>
      <c r="B8" s="149" t="s">
        <v>12</v>
      </c>
      <c r="C8" s="150" t="s">
        <v>12</v>
      </c>
      <c r="D8" s="85" t="s">
        <v>13</v>
      </c>
      <c r="E8" s="174" t="s">
        <v>14</v>
      </c>
    </row>
    <row r="9" spans="1:5" ht="24">
      <c r="A9" s="148">
        <v>3</v>
      </c>
      <c r="B9" s="149" t="s">
        <v>15</v>
      </c>
      <c r="C9" s="150" t="s">
        <v>16</v>
      </c>
      <c r="D9" s="85" t="s">
        <v>17</v>
      </c>
      <c r="E9" s="174" t="s">
        <v>18</v>
      </c>
    </row>
    <row r="10" spans="1:5" ht="24">
      <c r="A10" s="148">
        <v>4</v>
      </c>
      <c r="B10" s="149" t="s">
        <v>19</v>
      </c>
      <c r="C10" s="150" t="s">
        <v>12</v>
      </c>
      <c r="D10" s="85" t="s">
        <v>20</v>
      </c>
      <c r="E10" s="174" t="s">
        <v>21</v>
      </c>
    </row>
    <row r="11" spans="1:5" ht="24">
      <c r="A11" s="148">
        <v>5</v>
      </c>
      <c r="B11" s="149" t="s">
        <v>22</v>
      </c>
      <c r="C11" s="150" t="s">
        <v>12</v>
      </c>
      <c r="D11" s="85" t="s">
        <v>23</v>
      </c>
      <c r="E11" s="174" t="s">
        <v>24</v>
      </c>
    </row>
    <row r="12" spans="1:5" ht="24">
      <c r="A12" s="148">
        <v>6</v>
      </c>
      <c r="B12" s="149" t="s">
        <v>25</v>
      </c>
      <c r="C12" s="150" t="s">
        <v>12</v>
      </c>
      <c r="D12" s="85" t="s">
        <v>26</v>
      </c>
      <c r="E12" s="174" t="s">
        <v>27</v>
      </c>
    </row>
    <row r="13" spans="1:5" ht="24">
      <c r="A13" s="148">
        <v>7</v>
      </c>
      <c r="B13" s="149" t="s">
        <v>28</v>
      </c>
      <c r="C13" s="150" t="s">
        <v>12</v>
      </c>
      <c r="D13" s="85" t="s">
        <v>29</v>
      </c>
      <c r="E13" s="174" t="s">
        <v>30</v>
      </c>
    </row>
    <row r="14" spans="1:5" ht="24">
      <c r="A14" s="148">
        <v>8</v>
      </c>
      <c r="B14" s="149" t="s">
        <v>31</v>
      </c>
      <c r="C14" s="150" t="s">
        <v>32</v>
      </c>
      <c r="D14" s="85" t="s">
        <v>33</v>
      </c>
      <c r="E14" s="174" t="s">
        <v>34</v>
      </c>
    </row>
    <row r="15" spans="1:5" ht="24">
      <c r="A15" s="148">
        <v>9</v>
      </c>
      <c r="B15" s="149" t="s">
        <v>35</v>
      </c>
      <c r="C15" s="150" t="s">
        <v>32</v>
      </c>
      <c r="D15" s="85" t="s">
        <v>36</v>
      </c>
      <c r="E15" s="174" t="s">
        <v>37</v>
      </c>
    </row>
    <row r="16" spans="1:5" ht="24">
      <c r="A16" s="148">
        <v>10</v>
      </c>
      <c r="B16" s="149" t="s">
        <v>38</v>
      </c>
      <c r="C16" s="150" t="s">
        <v>32</v>
      </c>
      <c r="D16" s="85" t="s">
        <v>39</v>
      </c>
      <c r="E16" s="174" t="s">
        <v>40</v>
      </c>
    </row>
    <row r="17" spans="1:5" ht="24">
      <c r="A17" s="148">
        <v>11</v>
      </c>
      <c r="B17" s="149" t="s">
        <v>41</v>
      </c>
      <c r="C17" s="150" t="s">
        <v>42</v>
      </c>
      <c r="D17" s="85" t="s">
        <v>43</v>
      </c>
      <c r="E17" s="174" t="s">
        <v>44</v>
      </c>
    </row>
    <row r="18" spans="1:5" ht="24">
      <c r="A18" s="148">
        <v>12</v>
      </c>
      <c r="B18" s="149" t="s">
        <v>45</v>
      </c>
      <c r="C18" s="150" t="s">
        <v>42</v>
      </c>
      <c r="D18" s="85" t="s">
        <v>46</v>
      </c>
      <c r="E18" s="174" t="s">
        <v>47</v>
      </c>
    </row>
    <row r="19" spans="1:5" ht="24">
      <c r="A19" s="148">
        <v>13</v>
      </c>
      <c r="B19" s="149" t="s">
        <v>48</v>
      </c>
      <c r="C19" s="150" t="s">
        <v>42</v>
      </c>
      <c r="D19" s="85" t="s">
        <v>49</v>
      </c>
      <c r="E19" s="174" t="s">
        <v>50</v>
      </c>
    </row>
    <row r="20" spans="1:5" ht="24">
      <c r="A20" s="148">
        <v>14</v>
      </c>
      <c r="B20" s="149" t="s">
        <v>51</v>
      </c>
      <c r="C20" s="150" t="s">
        <v>42</v>
      </c>
      <c r="D20" s="85" t="s">
        <v>52</v>
      </c>
      <c r="E20" s="174" t="s">
        <v>53</v>
      </c>
    </row>
    <row r="21" spans="1:5" ht="24">
      <c r="A21" s="148">
        <v>15</v>
      </c>
      <c r="B21" s="149" t="s">
        <v>54</v>
      </c>
      <c r="C21" s="150" t="s">
        <v>42</v>
      </c>
      <c r="D21" s="85" t="s">
        <v>55</v>
      </c>
      <c r="E21" s="174" t="s">
        <v>56</v>
      </c>
    </row>
    <row r="22" spans="1:5" ht="24">
      <c r="A22" s="148">
        <v>16</v>
      </c>
      <c r="B22" s="149" t="s">
        <v>57</v>
      </c>
      <c r="C22" s="150" t="s">
        <v>42</v>
      </c>
      <c r="D22" s="85" t="s">
        <v>58</v>
      </c>
      <c r="E22" s="174" t="s">
        <v>59</v>
      </c>
    </row>
    <row r="23" spans="1:5" ht="24">
      <c r="A23" s="148">
        <v>17</v>
      </c>
      <c r="B23" s="149" t="s">
        <v>60</v>
      </c>
      <c r="C23" s="150" t="s">
        <v>42</v>
      </c>
      <c r="D23" s="85" t="s">
        <v>61</v>
      </c>
      <c r="E23" s="174" t="s">
        <v>62</v>
      </c>
    </row>
    <row r="24" spans="1:5" ht="24">
      <c r="A24" s="148">
        <v>18</v>
      </c>
      <c r="B24" s="149" t="s">
        <v>63</v>
      </c>
      <c r="C24" s="150" t="s">
        <v>42</v>
      </c>
      <c r="D24" s="85" t="s">
        <v>64</v>
      </c>
      <c r="E24" s="174" t="s">
        <v>65</v>
      </c>
    </row>
    <row r="25" spans="1:5" ht="24">
      <c r="A25" s="148">
        <v>19</v>
      </c>
      <c r="B25" s="149" t="s">
        <v>66</v>
      </c>
      <c r="C25" s="150" t="s">
        <v>42</v>
      </c>
      <c r="D25" s="85" t="s">
        <v>67</v>
      </c>
      <c r="E25" s="174" t="s">
        <v>68</v>
      </c>
    </row>
    <row r="26" spans="1:5" ht="24">
      <c r="A26" s="148">
        <v>20</v>
      </c>
      <c r="B26" s="149" t="s">
        <v>69</v>
      </c>
      <c r="C26" s="150" t="s">
        <v>42</v>
      </c>
      <c r="D26" s="85" t="s">
        <v>70</v>
      </c>
      <c r="E26" s="174" t="s">
        <v>71</v>
      </c>
    </row>
    <row r="27" spans="1:5" ht="24">
      <c r="A27" s="148">
        <v>21</v>
      </c>
      <c r="B27" s="149" t="s">
        <v>72</v>
      </c>
      <c r="C27" s="150" t="s">
        <v>42</v>
      </c>
      <c r="D27" s="85" t="s">
        <v>73</v>
      </c>
      <c r="E27" s="174" t="s">
        <v>74</v>
      </c>
    </row>
    <row r="28" spans="1:5" ht="24">
      <c r="A28" s="148">
        <v>22</v>
      </c>
      <c r="B28" s="149" t="s">
        <v>75</v>
      </c>
      <c r="C28" s="150" t="s">
        <v>42</v>
      </c>
      <c r="D28" s="85" t="s">
        <v>76</v>
      </c>
      <c r="E28" s="174" t="s">
        <v>77</v>
      </c>
    </row>
    <row r="29" spans="1:5" ht="24">
      <c r="A29" s="148">
        <v>23</v>
      </c>
      <c r="B29" s="149" t="s">
        <v>78</v>
      </c>
      <c r="C29" s="150" t="s">
        <v>42</v>
      </c>
      <c r="D29" s="85" t="s">
        <v>79</v>
      </c>
      <c r="E29" s="174" t="s">
        <v>80</v>
      </c>
    </row>
    <row r="30" spans="1:5" ht="24">
      <c r="A30" s="148">
        <v>24</v>
      </c>
      <c r="B30" s="149" t="s">
        <v>81</v>
      </c>
      <c r="C30" s="150" t="s">
        <v>42</v>
      </c>
      <c r="D30" s="85" t="s">
        <v>82</v>
      </c>
      <c r="E30" s="174" t="s">
        <v>83</v>
      </c>
    </row>
    <row r="31" spans="1:5" ht="24">
      <c r="A31" s="148">
        <v>25</v>
      </c>
      <c r="B31" s="149" t="s">
        <v>84</v>
      </c>
      <c r="C31" s="150" t="s">
        <v>42</v>
      </c>
      <c r="D31" s="85" t="s">
        <v>85</v>
      </c>
      <c r="E31" s="174" t="s">
        <v>86</v>
      </c>
    </row>
    <row r="32" spans="1:5" ht="24">
      <c r="A32" s="148">
        <v>26</v>
      </c>
      <c r="B32" s="149" t="s">
        <v>87</v>
      </c>
      <c r="C32" s="150" t="s">
        <v>42</v>
      </c>
      <c r="D32" s="85" t="s">
        <v>88</v>
      </c>
      <c r="E32" s="174" t="s">
        <v>89</v>
      </c>
    </row>
    <row r="33" spans="1:5" ht="24">
      <c r="A33" s="148">
        <v>27</v>
      </c>
      <c r="B33" s="149" t="s">
        <v>90</v>
      </c>
      <c r="C33" s="150" t="s">
        <v>91</v>
      </c>
      <c r="D33" s="85" t="s">
        <v>92</v>
      </c>
      <c r="E33" s="174" t="s">
        <v>93</v>
      </c>
    </row>
    <row r="34" spans="1:5" ht="24">
      <c r="A34" s="148">
        <v>28</v>
      </c>
      <c r="B34" s="149" t="s">
        <v>94</v>
      </c>
      <c r="C34" s="150" t="s">
        <v>91</v>
      </c>
      <c r="D34" s="85" t="s">
        <v>95</v>
      </c>
      <c r="E34" s="174" t="s">
        <v>96</v>
      </c>
    </row>
    <row r="35" spans="1:5" ht="24">
      <c r="A35" s="148">
        <v>29</v>
      </c>
      <c r="B35" s="149" t="s">
        <v>97</v>
      </c>
      <c r="C35" s="150" t="s">
        <v>91</v>
      </c>
      <c r="D35" s="85" t="s">
        <v>98</v>
      </c>
      <c r="E35" s="174" t="s">
        <v>99</v>
      </c>
    </row>
    <row r="36" spans="1:5" ht="24">
      <c r="A36" s="148">
        <v>30</v>
      </c>
      <c r="B36" s="149" t="s">
        <v>100</v>
      </c>
      <c r="C36" s="150" t="s">
        <v>91</v>
      </c>
      <c r="D36" s="85" t="s">
        <v>101</v>
      </c>
      <c r="E36" s="174" t="s">
        <v>102</v>
      </c>
    </row>
    <row r="37" spans="1:5" ht="24">
      <c r="A37" s="148">
        <v>31</v>
      </c>
      <c r="B37" s="149" t="s">
        <v>103</v>
      </c>
      <c r="C37" s="150" t="s">
        <v>91</v>
      </c>
      <c r="D37" s="85" t="s">
        <v>104</v>
      </c>
      <c r="E37" s="174" t="s">
        <v>105</v>
      </c>
    </row>
    <row r="38" spans="1:5" ht="24">
      <c r="A38" s="148">
        <v>32</v>
      </c>
      <c r="B38" s="149" t="s">
        <v>106</v>
      </c>
      <c r="C38" s="150" t="s">
        <v>91</v>
      </c>
      <c r="D38" s="85" t="s">
        <v>107</v>
      </c>
      <c r="E38" s="174" t="s">
        <v>108</v>
      </c>
    </row>
    <row r="39" spans="1:5" ht="24">
      <c r="A39" s="148">
        <v>33</v>
      </c>
      <c r="B39" s="149" t="s">
        <v>109</v>
      </c>
      <c r="C39" s="150" t="s">
        <v>110</v>
      </c>
      <c r="D39" s="85" t="s">
        <v>111</v>
      </c>
      <c r="E39" s="174" t="s">
        <v>112</v>
      </c>
    </row>
    <row r="40" spans="1:5" ht="24">
      <c r="A40" s="148">
        <v>34</v>
      </c>
      <c r="B40" s="149" t="s">
        <v>113</v>
      </c>
      <c r="C40" s="150" t="s">
        <v>114</v>
      </c>
      <c r="D40" s="85" t="s">
        <v>115</v>
      </c>
      <c r="E40" s="174" t="s">
        <v>116</v>
      </c>
    </row>
    <row r="41" spans="1:5" ht="24">
      <c r="A41" s="148">
        <v>35</v>
      </c>
      <c r="B41" s="149" t="s">
        <v>117</v>
      </c>
      <c r="C41" s="150" t="s">
        <v>118</v>
      </c>
      <c r="D41" s="85" t="s">
        <v>119</v>
      </c>
      <c r="E41" s="174" t="s">
        <v>120</v>
      </c>
    </row>
    <row r="42" spans="1:5" ht="24">
      <c r="A42" s="148">
        <v>36</v>
      </c>
      <c r="B42" s="149" t="s">
        <v>121</v>
      </c>
      <c r="C42" s="150" t="s">
        <v>110</v>
      </c>
      <c r="D42" s="85" t="s">
        <v>122</v>
      </c>
      <c r="E42" s="174" t="s">
        <v>123</v>
      </c>
    </row>
    <row r="43" spans="1:5" ht="24">
      <c r="A43" s="148">
        <v>37</v>
      </c>
      <c r="B43" s="149" t="s">
        <v>124</v>
      </c>
      <c r="C43" s="150" t="s">
        <v>110</v>
      </c>
      <c r="D43" s="85" t="s">
        <v>125</v>
      </c>
      <c r="E43" s="174" t="s">
        <v>126</v>
      </c>
    </row>
    <row r="44" spans="1:5" ht="24">
      <c r="A44" s="148">
        <v>38</v>
      </c>
      <c r="B44" s="149" t="s">
        <v>127</v>
      </c>
      <c r="C44" s="150" t="s">
        <v>110</v>
      </c>
      <c r="D44" s="85" t="s">
        <v>128</v>
      </c>
      <c r="E44" s="174" t="s">
        <v>129</v>
      </c>
    </row>
    <row r="45" spans="1:5" ht="24">
      <c r="A45" s="148">
        <v>39</v>
      </c>
      <c r="B45" s="149" t="s">
        <v>130</v>
      </c>
      <c r="C45" s="150" t="s">
        <v>110</v>
      </c>
      <c r="D45" s="85" t="s">
        <v>131</v>
      </c>
      <c r="E45" s="174" t="s">
        <v>132</v>
      </c>
    </row>
    <row r="46" spans="1:5" ht="24">
      <c r="A46" s="148">
        <v>40</v>
      </c>
      <c r="B46" s="149" t="s">
        <v>133</v>
      </c>
      <c r="C46" s="150" t="s">
        <v>110</v>
      </c>
      <c r="D46" s="85" t="s">
        <v>134</v>
      </c>
      <c r="E46" s="174" t="s">
        <v>135</v>
      </c>
    </row>
    <row r="47" spans="1:5" ht="24">
      <c r="A47" s="148">
        <v>41</v>
      </c>
      <c r="B47" s="149" t="s">
        <v>136</v>
      </c>
      <c r="C47" s="150" t="s">
        <v>16</v>
      </c>
      <c r="D47" s="85" t="s">
        <v>137</v>
      </c>
      <c r="E47" s="174" t="s">
        <v>138</v>
      </c>
    </row>
    <row r="48" spans="1:5" ht="24">
      <c r="A48" s="148">
        <v>42</v>
      </c>
      <c r="B48" s="149" t="s">
        <v>139</v>
      </c>
      <c r="C48" s="150" t="s">
        <v>140</v>
      </c>
      <c r="D48" s="85" t="s">
        <v>141</v>
      </c>
      <c r="E48" s="174" t="s">
        <v>142</v>
      </c>
    </row>
    <row r="49" spans="1:5" ht="24">
      <c r="A49" s="148">
        <v>43</v>
      </c>
      <c r="B49" s="149" t="s">
        <v>143</v>
      </c>
      <c r="C49" s="150" t="s">
        <v>144</v>
      </c>
      <c r="D49" s="85" t="s">
        <v>145</v>
      </c>
      <c r="E49" s="174" t="s">
        <v>146</v>
      </c>
    </row>
    <row r="50" spans="1:5" ht="24">
      <c r="A50" s="148">
        <v>44</v>
      </c>
      <c r="B50" s="149" t="s">
        <v>147</v>
      </c>
      <c r="C50" s="150" t="s">
        <v>114</v>
      </c>
      <c r="D50" s="85" t="s">
        <v>148</v>
      </c>
      <c r="E50" s="174" t="s">
        <v>149</v>
      </c>
    </row>
    <row r="51" spans="1:5" ht="24">
      <c r="A51" s="148">
        <v>45</v>
      </c>
      <c r="B51" s="149" t="s">
        <v>150</v>
      </c>
      <c r="C51" s="150" t="s">
        <v>151</v>
      </c>
      <c r="D51" s="85" t="s">
        <v>152</v>
      </c>
      <c r="E51" s="174" t="s">
        <v>153</v>
      </c>
    </row>
    <row r="52" spans="1:5" ht="24">
      <c r="A52" s="148">
        <v>46</v>
      </c>
      <c r="B52" s="149" t="s">
        <v>154</v>
      </c>
      <c r="C52" s="150" t="s">
        <v>151</v>
      </c>
      <c r="D52" s="85" t="s">
        <v>155</v>
      </c>
      <c r="E52" s="174" t="s">
        <v>156</v>
      </c>
    </row>
    <row r="53" spans="1:5" ht="24">
      <c r="A53" s="148">
        <v>47</v>
      </c>
      <c r="B53" s="149" t="s">
        <v>157</v>
      </c>
      <c r="C53" s="150" t="s">
        <v>151</v>
      </c>
      <c r="D53" s="85" t="s">
        <v>158</v>
      </c>
      <c r="E53" s="174" t="s">
        <v>159</v>
      </c>
    </row>
    <row r="54" spans="1:5" ht="24">
      <c r="A54" s="148">
        <v>48</v>
      </c>
      <c r="B54" s="149" t="s">
        <v>160</v>
      </c>
      <c r="C54" s="150" t="s">
        <v>161</v>
      </c>
      <c r="D54" s="85" t="s">
        <v>162</v>
      </c>
      <c r="E54" s="174" t="s">
        <v>163</v>
      </c>
    </row>
    <row r="55" spans="1:5">
      <c r="A55" s="148">
        <v>49</v>
      </c>
      <c r="B55" s="149" t="s">
        <v>164</v>
      </c>
      <c r="C55" s="150" t="s">
        <v>165</v>
      </c>
      <c r="D55" s="85" t="s">
        <v>166</v>
      </c>
      <c r="E55" s="174" t="s">
        <v>167</v>
      </c>
    </row>
    <row r="56" spans="1:5" ht="24">
      <c r="A56" s="148">
        <v>50</v>
      </c>
      <c r="B56" s="149" t="s">
        <v>168</v>
      </c>
      <c r="C56" s="150" t="s">
        <v>169</v>
      </c>
      <c r="D56" s="85" t="s">
        <v>170</v>
      </c>
      <c r="E56" s="174" t="s">
        <v>171</v>
      </c>
    </row>
    <row r="57" spans="1:5" ht="24">
      <c r="A57" s="148">
        <v>51</v>
      </c>
      <c r="B57" s="149" t="s">
        <v>172</v>
      </c>
      <c r="C57" s="150" t="s">
        <v>161</v>
      </c>
      <c r="D57" s="85" t="s">
        <v>173</v>
      </c>
      <c r="E57" s="174" t="s">
        <v>174</v>
      </c>
    </row>
    <row r="58" spans="1:5" ht="24">
      <c r="A58" s="148">
        <v>52</v>
      </c>
      <c r="B58" s="149" t="s">
        <v>175</v>
      </c>
      <c r="C58" s="150" t="s">
        <v>176</v>
      </c>
      <c r="D58" s="85" t="s">
        <v>177</v>
      </c>
      <c r="E58" s="174" t="s">
        <v>178</v>
      </c>
    </row>
  </sheetData>
  <mergeCells count="3">
    <mergeCell ref="A1:E1"/>
    <mergeCell ref="A2:E2"/>
    <mergeCell ref="A4:E4"/>
  </mergeCells>
  <pageMargins left="0.7" right="0.7" top="0.75" bottom="0.75" header="0.3" footer="0.3"/>
  <pageSetup orientation="portrait" r:id="rId1"/>
  <headerFooter>
    <oddFooter>&amp;L_x000D_&amp;1#&amp;"Aptos"&amp;10&amp;K000000 Confidential-Internal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3372F-1081-4BE2-BEB6-595CD09E1A08}">
  <dimension ref="A1:B23"/>
  <sheetViews>
    <sheetView topLeftCell="A6" workbookViewId="0">
      <selection activeCell="I11" sqref="I11:J11"/>
    </sheetView>
  </sheetViews>
  <sheetFormatPr defaultRowHeight="14.45"/>
  <cols>
    <col min="1" max="1" width="36.42578125" customWidth="1"/>
    <col min="2" max="2" width="63.5703125" customWidth="1"/>
  </cols>
  <sheetData>
    <row r="1" spans="1:2" ht="48" customHeight="1">
      <c r="A1" s="298" t="s">
        <v>179</v>
      </c>
      <c r="B1" s="298"/>
    </row>
    <row r="2" spans="1:2" ht="48" customHeight="1">
      <c r="A2" s="298"/>
      <c r="B2" s="298"/>
    </row>
    <row r="3" spans="1:2" ht="24" customHeight="1">
      <c r="A3" s="299" t="s">
        <v>180</v>
      </c>
      <c r="B3" s="299"/>
    </row>
    <row r="4" spans="1:2" ht="24" customHeight="1">
      <c r="A4" s="299"/>
      <c r="B4" s="299"/>
    </row>
    <row r="5" spans="1:2">
      <c r="A5" s="57"/>
      <c r="B5" s="57"/>
    </row>
    <row r="6" spans="1:2">
      <c r="A6" s="302" t="s">
        <v>181</v>
      </c>
      <c r="B6" s="302"/>
    </row>
    <row r="7" spans="1:2">
      <c r="A7" s="70" t="s">
        <v>182</v>
      </c>
      <c r="B7" s="70" t="s">
        <v>183</v>
      </c>
    </row>
    <row r="8" spans="1:2">
      <c r="A8" s="85" t="s">
        <v>19</v>
      </c>
      <c r="B8" s="85" t="s">
        <v>184</v>
      </c>
    </row>
    <row r="9" spans="1:2">
      <c r="A9" s="85" t="s">
        <v>22</v>
      </c>
      <c r="B9" s="85" t="s">
        <v>185</v>
      </c>
    </row>
    <row r="10" spans="1:2">
      <c r="A10" s="85" t="s">
        <v>25</v>
      </c>
      <c r="B10" s="85" t="s">
        <v>186</v>
      </c>
    </row>
    <row r="11" spans="1:2">
      <c r="A11" s="85" t="s">
        <v>28</v>
      </c>
      <c r="B11" s="85" t="s">
        <v>187</v>
      </c>
    </row>
    <row r="12" spans="1:2">
      <c r="A12" s="85" t="s">
        <v>31</v>
      </c>
      <c r="B12" s="85" t="s">
        <v>188</v>
      </c>
    </row>
    <row r="13" spans="1:2">
      <c r="A13" s="85" t="s">
        <v>35</v>
      </c>
      <c r="B13" s="85" t="s">
        <v>189</v>
      </c>
    </row>
    <row r="14" spans="1:2">
      <c r="A14" s="85" t="s">
        <v>38</v>
      </c>
      <c r="B14" s="85" t="s">
        <v>190</v>
      </c>
    </row>
    <row r="15" spans="1:2">
      <c r="A15" s="85" t="s">
        <v>90</v>
      </c>
      <c r="B15" s="85" t="s">
        <v>191</v>
      </c>
    </row>
    <row r="16" spans="1:2">
      <c r="A16" s="85" t="s">
        <v>94</v>
      </c>
      <c r="B16" s="85" t="s">
        <v>192</v>
      </c>
    </row>
    <row r="17" spans="1:2" ht="14.45" customHeight="1">
      <c r="A17" s="90" t="s">
        <v>97</v>
      </c>
      <c r="B17" s="85" t="s">
        <v>193</v>
      </c>
    </row>
    <row r="18" spans="1:2">
      <c r="A18" s="85" t="s">
        <v>100</v>
      </c>
      <c r="B18" s="85" t="s">
        <v>194</v>
      </c>
    </row>
    <row r="19" spans="1:2" ht="14.45" customHeight="1">
      <c r="A19" s="90" t="s">
        <v>103</v>
      </c>
      <c r="B19" s="90" t="s">
        <v>195</v>
      </c>
    </row>
    <row r="20" spans="1:2">
      <c r="A20" s="85" t="s">
        <v>106</v>
      </c>
      <c r="B20" s="85" t="s">
        <v>196</v>
      </c>
    </row>
    <row r="21" spans="1:2">
      <c r="A21" s="57"/>
      <c r="B21" s="57"/>
    </row>
    <row r="22" spans="1:2" ht="14.45" customHeight="1">
      <c r="A22" s="72"/>
      <c r="B22" s="72"/>
    </row>
    <row r="23" spans="1:2">
      <c r="A23" s="301" t="s">
        <v>197</v>
      </c>
      <c r="B23" s="301"/>
    </row>
  </sheetData>
  <mergeCells count="4">
    <mergeCell ref="A23:B23"/>
    <mergeCell ref="A1:B2"/>
    <mergeCell ref="A3:B4"/>
    <mergeCell ref="A6:B6"/>
  </mergeCells>
  <pageMargins left="0.7" right="0.7" top="0.75" bottom="0.75" header="0.3" footer="0.3"/>
  <headerFooter>
    <oddFooter>&amp;L_x000D_&amp;1#&amp;"Aptos"&amp;10&amp;K000000 Confidential-Internal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A545A-1C1F-41CC-8E31-95DEC46C3D02}">
  <dimension ref="A1:J294"/>
  <sheetViews>
    <sheetView topLeftCell="A154" workbookViewId="0">
      <selection activeCell="I11" sqref="I11:J11"/>
    </sheetView>
  </sheetViews>
  <sheetFormatPr defaultColWidth="8.7109375" defaultRowHeight="12.95"/>
  <cols>
    <col min="1" max="1" width="18.7109375" style="155" customWidth="1"/>
    <col min="2" max="2" width="33.85546875" style="155" customWidth="1"/>
    <col min="3" max="3" width="41.140625" style="155" customWidth="1"/>
    <col min="4" max="4" width="47.42578125" style="155" customWidth="1"/>
    <col min="5" max="5" width="27.140625" style="155" customWidth="1"/>
    <col min="6" max="16384" width="8.7109375" style="155"/>
  </cols>
  <sheetData>
    <row r="1" spans="1:4">
      <c r="C1" s="178" t="s">
        <v>198</v>
      </c>
      <c r="D1" s="178" t="s">
        <v>199</v>
      </c>
    </row>
    <row r="2" spans="1:4">
      <c r="A2" s="175" t="s">
        <v>200</v>
      </c>
      <c r="B2" s="175" t="s">
        <v>201</v>
      </c>
      <c r="C2" s="184" t="s">
        <v>202</v>
      </c>
    </row>
    <row r="3" spans="1:4">
      <c r="C3" s="184" t="s">
        <v>203</v>
      </c>
    </row>
    <row r="4" spans="1:4">
      <c r="C4" s="184" t="s">
        <v>204</v>
      </c>
    </row>
    <row r="5" spans="1:4">
      <c r="C5" s="184" t="s">
        <v>205</v>
      </c>
    </row>
    <row r="6" spans="1:4">
      <c r="C6" s="184" t="s">
        <v>206</v>
      </c>
    </row>
    <row r="7" spans="1:4">
      <c r="C7" s="184" t="s">
        <v>207</v>
      </c>
    </row>
    <row r="8" spans="1:4">
      <c r="C8" s="184" t="s">
        <v>208</v>
      </c>
    </row>
    <row r="9" spans="1:4">
      <c r="C9" s="184" t="s">
        <v>209</v>
      </c>
    </row>
    <row r="10" spans="1:4">
      <c r="C10" s="184" t="s">
        <v>210</v>
      </c>
    </row>
    <row r="11" spans="1:4">
      <c r="C11" s="184" t="s">
        <v>211</v>
      </c>
    </row>
    <row r="12" spans="1:4">
      <c r="C12" s="184" t="s">
        <v>212</v>
      </c>
    </row>
    <row r="13" spans="1:4">
      <c r="C13" s="184" t="s">
        <v>213</v>
      </c>
    </row>
    <row r="14" spans="1:4">
      <c r="C14" s="184" t="s">
        <v>214</v>
      </c>
    </row>
    <row r="15" spans="1:4">
      <c r="A15" s="176" t="s">
        <v>215</v>
      </c>
      <c r="B15" s="155" t="s">
        <v>216</v>
      </c>
      <c r="C15" s="184" t="s">
        <v>217</v>
      </c>
    </row>
    <row r="16" spans="1:4">
      <c r="C16" s="184" t="s">
        <v>218</v>
      </c>
    </row>
    <row r="17" spans="1:3">
      <c r="C17" s="184" t="s">
        <v>219</v>
      </c>
    </row>
    <row r="18" spans="1:3">
      <c r="C18" s="184" t="s">
        <v>220</v>
      </c>
    </row>
    <row r="19" spans="1:3">
      <c r="C19" s="184" t="s">
        <v>221</v>
      </c>
    </row>
    <row r="20" spans="1:3">
      <c r="C20" s="184" t="s">
        <v>222</v>
      </c>
    </row>
    <row r="21" spans="1:3">
      <c r="C21" s="184" t="s">
        <v>223</v>
      </c>
    </row>
    <row r="22" spans="1:3">
      <c r="C22" s="184" t="s">
        <v>224</v>
      </c>
    </row>
    <row r="23" spans="1:3">
      <c r="C23" s="184" t="s">
        <v>225</v>
      </c>
    </row>
    <row r="24" spans="1:3">
      <c r="C24" s="184" t="s">
        <v>226</v>
      </c>
    </row>
    <row r="25" spans="1:3">
      <c r="C25" s="184" t="s">
        <v>227</v>
      </c>
    </row>
    <row r="26" spans="1:3">
      <c r="C26" s="184" t="s">
        <v>228</v>
      </c>
    </row>
    <row r="27" spans="1:3">
      <c r="C27" s="184" t="s">
        <v>229</v>
      </c>
    </row>
    <row r="28" spans="1:3">
      <c r="A28" s="155" t="s">
        <v>215</v>
      </c>
      <c r="B28" s="177" t="s">
        <v>216</v>
      </c>
      <c r="C28" s="184" t="s">
        <v>230</v>
      </c>
    </row>
    <row r="29" spans="1:3">
      <c r="C29" s="184" t="s">
        <v>231</v>
      </c>
    </row>
    <row r="30" spans="1:3">
      <c r="C30" s="184" t="s">
        <v>232</v>
      </c>
    </row>
    <row r="31" spans="1:3">
      <c r="C31" s="184" t="s">
        <v>233</v>
      </c>
    </row>
    <row r="32" spans="1:3">
      <c r="C32" s="184" t="s">
        <v>234</v>
      </c>
    </row>
    <row r="33" spans="1:3">
      <c r="C33" s="184" t="s">
        <v>235</v>
      </c>
    </row>
    <row r="34" spans="1:3">
      <c r="C34" s="184" t="s">
        <v>236</v>
      </c>
    </row>
    <row r="35" spans="1:3">
      <c r="C35" s="184" t="s">
        <v>228</v>
      </c>
    </row>
    <row r="36" spans="1:3">
      <c r="C36" s="184" t="s">
        <v>237</v>
      </c>
    </row>
    <row r="37" spans="1:3">
      <c r="C37" s="184" t="s">
        <v>238</v>
      </c>
    </row>
    <row r="38" spans="1:3">
      <c r="C38" s="185" t="s">
        <v>239</v>
      </c>
    </row>
    <row r="40" spans="1:3">
      <c r="A40" s="177" t="s">
        <v>240</v>
      </c>
      <c r="B40" s="177" t="s">
        <v>241</v>
      </c>
      <c r="C40" s="184" t="s">
        <v>242</v>
      </c>
    </row>
    <row r="41" spans="1:3">
      <c r="C41" s="184" t="s">
        <v>243</v>
      </c>
    </row>
    <row r="42" spans="1:3">
      <c r="C42" s="184" t="s">
        <v>244</v>
      </c>
    </row>
    <row r="43" spans="1:3">
      <c r="C43" s="184" t="s">
        <v>245</v>
      </c>
    </row>
    <row r="44" spans="1:3">
      <c r="C44" s="184" t="s">
        <v>246</v>
      </c>
    </row>
    <row r="45" spans="1:3">
      <c r="C45" s="184" t="s">
        <v>247</v>
      </c>
    </row>
    <row r="46" spans="1:3">
      <c r="C46" s="184" t="s">
        <v>248</v>
      </c>
    </row>
    <row r="47" spans="1:3">
      <c r="C47" s="184" t="s">
        <v>249</v>
      </c>
    </row>
    <row r="48" spans="1:3">
      <c r="C48" s="184" t="s">
        <v>250</v>
      </c>
    </row>
    <row r="49" spans="2:8">
      <c r="C49" s="184" t="s">
        <v>251</v>
      </c>
    </row>
    <row r="50" spans="2:8">
      <c r="C50" s="184" t="s">
        <v>252</v>
      </c>
    </row>
    <row r="51" spans="2:8">
      <c r="C51" s="184" t="s">
        <v>253</v>
      </c>
    </row>
    <row r="52" spans="2:8">
      <c r="C52" s="184" t="s">
        <v>254</v>
      </c>
    </row>
    <row r="53" spans="2:8">
      <c r="C53" s="184" t="s">
        <v>255</v>
      </c>
    </row>
    <row r="54" spans="2:8">
      <c r="C54" s="184" t="s">
        <v>256</v>
      </c>
    </row>
    <row r="55" spans="2:8">
      <c r="C55" s="184" t="s">
        <v>257</v>
      </c>
    </row>
    <row r="57" spans="2:8" ht="13.5" thickBot="1">
      <c r="B57" s="178" t="s">
        <v>258</v>
      </c>
    </row>
    <row r="58" spans="2:8" ht="13.5" thickBot="1">
      <c r="C58" s="186" t="s">
        <v>259</v>
      </c>
      <c r="D58" s="187" t="s">
        <v>200</v>
      </c>
      <c r="E58" s="187" t="s">
        <v>260</v>
      </c>
      <c r="F58" s="187" t="s">
        <v>261</v>
      </c>
      <c r="G58" s="187" t="s">
        <v>262</v>
      </c>
      <c r="H58" s="187" t="s">
        <v>263</v>
      </c>
    </row>
    <row r="59" spans="2:8" ht="13.5" thickBot="1">
      <c r="B59" s="155">
        <v>1</v>
      </c>
      <c r="C59" s="188" t="s">
        <v>264</v>
      </c>
      <c r="D59" s="189" t="s">
        <v>265</v>
      </c>
      <c r="E59" s="189" t="s">
        <v>265</v>
      </c>
      <c r="F59" s="189" t="s">
        <v>265</v>
      </c>
      <c r="G59" s="189" t="s">
        <v>265</v>
      </c>
      <c r="H59" s="189" t="s">
        <v>265</v>
      </c>
    </row>
    <row r="60" spans="2:8" ht="13.5" thickBot="1">
      <c r="B60" s="155">
        <v>2</v>
      </c>
      <c r="C60" s="188" t="s">
        <v>266</v>
      </c>
      <c r="D60" s="189" t="s">
        <v>265</v>
      </c>
      <c r="E60" s="189" t="s">
        <v>265</v>
      </c>
      <c r="F60" s="189" t="s">
        <v>265</v>
      </c>
      <c r="G60" s="189" t="s">
        <v>265</v>
      </c>
      <c r="H60" s="189" t="s">
        <v>265</v>
      </c>
    </row>
    <row r="61" spans="2:8" ht="13.5" thickBot="1">
      <c r="B61" s="155">
        <v>3</v>
      </c>
      <c r="C61" s="188" t="s">
        <v>267</v>
      </c>
      <c r="D61" s="189" t="s">
        <v>265</v>
      </c>
      <c r="E61" s="189" t="s">
        <v>265</v>
      </c>
      <c r="F61" s="190"/>
      <c r="G61" s="190"/>
      <c r="H61" s="190"/>
    </row>
    <row r="62" spans="2:8" ht="13.5" thickBot="1">
      <c r="B62" s="155">
        <v>4</v>
      </c>
      <c r="C62" s="188" t="s">
        <v>268</v>
      </c>
      <c r="D62" s="190"/>
      <c r="E62" s="190"/>
      <c r="F62" s="189" t="s">
        <v>265</v>
      </c>
      <c r="G62" s="189" t="s">
        <v>265</v>
      </c>
      <c r="H62" s="190"/>
    </row>
    <row r="63" spans="2:8" ht="13.5" thickBot="1">
      <c r="B63" s="155">
        <v>5</v>
      </c>
      <c r="C63" s="188" t="s">
        <v>269</v>
      </c>
      <c r="D63" s="189" t="s">
        <v>265</v>
      </c>
      <c r="E63" s="189" t="s">
        <v>265</v>
      </c>
      <c r="F63" s="190"/>
      <c r="G63" s="189" t="s">
        <v>265</v>
      </c>
      <c r="H63" s="189" t="s">
        <v>265</v>
      </c>
    </row>
    <row r="64" spans="2:8" ht="13.5" thickBot="1">
      <c r="B64" s="155">
        <v>6</v>
      </c>
      <c r="C64" s="188" t="s">
        <v>270</v>
      </c>
      <c r="D64" s="190"/>
      <c r="E64" s="190"/>
      <c r="F64" s="190"/>
      <c r="G64" s="190"/>
      <c r="H64" s="189" t="s">
        <v>265</v>
      </c>
    </row>
    <row r="65" spans="2:8" ht="13.5" thickBot="1">
      <c r="B65" s="155">
        <v>7</v>
      </c>
      <c r="C65" s="188" t="s">
        <v>271</v>
      </c>
      <c r="D65" s="190"/>
      <c r="E65" s="190"/>
      <c r="F65" s="190"/>
      <c r="G65" s="190"/>
      <c r="H65" s="189" t="s">
        <v>265</v>
      </c>
    </row>
    <row r="66" spans="2:8" ht="13.5" thickBot="1">
      <c r="B66" s="155">
        <v>8</v>
      </c>
      <c r="C66" s="188" t="s">
        <v>272</v>
      </c>
      <c r="D66" s="189" t="s">
        <v>265</v>
      </c>
      <c r="E66" s="190"/>
      <c r="F66" s="190"/>
      <c r="G66" s="190"/>
      <c r="H66" s="190"/>
    </row>
    <row r="67" spans="2:8" ht="13.5" thickBot="1">
      <c r="B67" s="155">
        <v>9</v>
      </c>
      <c r="C67" s="188" t="s">
        <v>273</v>
      </c>
      <c r="D67" s="189" t="s">
        <v>265</v>
      </c>
      <c r="E67" s="190"/>
      <c r="F67" s="190"/>
      <c r="G67" s="190"/>
      <c r="H67" s="190"/>
    </row>
    <row r="68" spans="2:8" ht="13.5" thickBot="1">
      <c r="B68" s="155">
        <v>10</v>
      </c>
      <c r="C68" s="188" t="s">
        <v>274</v>
      </c>
      <c r="D68" s="189" t="s">
        <v>265</v>
      </c>
      <c r="E68" s="190"/>
      <c r="F68" s="190"/>
      <c r="G68" s="190"/>
      <c r="H68" s="190"/>
    </row>
    <row r="69" spans="2:8" ht="13.5" thickBot="1">
      <c r="B69" s="155">
        <v>11</v>
      </c>
      <c r="C69" s="188" t="s">
        <v>275</v>
      </c>
      <c r="D69" s="303" t="s">
        <v>276</v>
      </c>
      <c r="E69" s="304"/>
      <c r="F69" s="304"/>
      <c r="G69" s="304"/>
      <c r="H69" s="305"/>
    </row>
    <row r="70" spans="2:8" ht="13.5" thickBot="1">
      <c r="B70" s="155">
        <v>12</v>
      </c>
      <c r="C70" s="188" t="s">
        <v>277</v>
      </c>
      <c r="D70" s="191"/>
      <c r="E70" s="191"/>
      <c r="F70" s="191"/>
      <c r="G70" s="191"/>
      <c r="H70" s="189" t="s">
        <v>265</v>
      </c>
    </row>
    <row r="71" spans="2:8" ht="13.5" thickBot="1">
      <c r="B71" s="155">
        <v>13</v>
      </c>
      <c r="C71" s="188" t="s">
        <v>278</v>
      </c>
      <c r="D71" s="303" t="s">
        <v>279</v>
      </c>
      <c r="E71" s="304"/>
      <c r="F71" s="304"/>
      <c r="G71" s="304"/>
      <c r="H71" s="305"/>
    </row>
    <row r="72" spans="2:8" ht="13.5" thickBot="1">
      <c r="B72" s="155">
        <v>14</v>
      </c>
      <c r="C72" s="188" t="s">
        <v>280</v>
      </c>
      <c r="D72" s="191"/>
      <c r="E72" s="191"/>
      <c r="F72" s="191"/>
      <c r="G72" s="191"/>
      <c r="H72" s="191"/>
    </row>
    <row r="73" spans="2:8" ht="13.5" thickBot="1">
      <c r="B73" s="155">
        <v>15</v>
      </c>
      <c r="C73" s="188" t="s">
        <v>281</v>
      </c>
      <c r="D73" s="189" t="s">
        <v>265</v>
      </c>
      <c r="E73" s="189" t="s">
        <v>265</v>
      </c>
      <c r="F73" s="189" t="s">
        <v>265</v>
      </c>
      <c r="G73" s="189" t="s">
        <v>265</v>
      </c>
      <c r="H73" s="189" t="s">
        <v>265</v>
      </c>
    </row>
    <row r="74" spans="2:8" ht="13.5" thickBot="1">
      <c r="B74" s="155">
        <v>16</v>
      </c>
      <c r="C74" s="188" t="s">
        <v>282</v>
      </c>
      <c r="D74" s="189" t="s">
        <v>265</v>
      </c>
      <c r="E74" s="191"/>
      <c r="F74" s="191"/>
      <c r="G74" s="191"/>
      <c r="H74" s="191"/>
    </row>
    <row r="76" spans="2:8" ht="13.5" thickBot="1"/>
    <row r="77" spans="2:8" ht="13.5" thickBot="1">
      <c r="B77" s="192" t="s">
        <v>283</v>
      </c>
      <c r="C77" s="193" t="s">
        <v>284</v>
      </c>
      <c r="D77" s="193" t="s">
        <v>6</v>
      </c>
    </row>
    <row r="78" spans="2:8" ht="13.5" thickBot="1">
      <c r="B78" s="194">
        <v>1</v>
      </c>
      <c r="C78" s="195" t="s">
        <v>285</v>
      </c>
      <c r="D78" s="195" t="s">
        <v>286</v>
      </c>
    </row>
    <row r="79" spans="2:8" ht="13.5" thickBot="1">
      <c r="B79" s="194">
        <v>2</v>
      </c>
      <c r="C79" s="195" t="s">
        <v>287</v>
      </c>
      <c r="D79" s="195" t="s">
        <v>286</v>
      </c>
    </row>
    <row r="80" spans="2:8" ht="13.5" thickBot="1">
      <c r="B80" s="194">
        <v>3</v>
      </c>
      <c r="C80" s="195" t="s">
        <v>288</v>
      </c>
      <c r="D80" s="195" t="s">
        <v>289</v>
      </c>
    </row>
    <row r="81" spans="2:4" ht="13.5" thickBot="1">
      <c r="B81" s="194">
        <v>4</v>
      </c>
      <c r="C81" s="195" t="s">
        <v>290</v>
      </c>
      <c r="D81" s="195" t="s">
        <v>262</v>
      </c>
    </row>
    <row r="82" spans="2:4" ht="13.5" thickBot="1">
      <c r="B82" s="194">
        <v>5</v>
      </c>
      <c r="C82" s="195" t="s">
        <v>291</v>
      </c>
      <c r="D82" s="195" t="s">
        <v>292</v>
      </c>
    </row>
    <row r="83" spans="2:4" ht="13.5" thickBot="1">
      <c r="B83" s="194">
        <v>6</v>
      </c>
      <c r="C83" s="195" t="s">
        <v>293</v>
      </c>
      <c r="D83" s="195" t="s">
        <v>294</v>
      </c>
    </row>
    <row r="84" spans="2:4" ht="13.5" thickBot="1">
      <c r="B84" s="194">
        <v>7</v>
      </c>
      <c r="C84" s="195" t="s">
        <v>295</v>
      </c>
      <c r="D84" s="195" t="s">
        <v>296</v>
      </c>
    </row>
    <row r="85" spans="2:4" ht="13.5" thickBot="1">
      <c r="B85" s="194">
        <v>8</v>
      </c>
      <c r="C85" s="195" t="s">
        <v>297</v>
      </c>
      <c r="D85" s="195" t="s">
        <v>298</v>
      </c>
    </row>
    <row r="87" spans="2:4" ht="13.5" thickBot="1">
      <c r="B87" s="178" t="s">
        <v>299</v>
      </c>
    </row>
    <row r="88" spans="2:4" ht="13.5" thickBot="1">
      <c r="B88" s="196" t="s">
        <v>300</v>
      </c>
      <c r="C88" s="196" t="s">
        <v>301</v>
      </c>
      <c r="D88" s="196" t="s">
        <v>302</v>
      </c>
    </row>
    <row r="89" spans="2:4" ht="14.1" thickTop="1" thickBot="1">
      <c r="B89" s="197">
        <v>1</v>
      </c>
      <c r="C89" s="197" t="s">
        <v>200</v>
      </c>
      <c r="D89" s="198" t="s">
        <v>303</v>
      </c>
    </row>
    <row r="90" spans="2:4" ht="13.5" thickBot="1">
      <c r="B90" s="199">
        <v>2</v>
      </c>
      <c r="C90" s="199" t="s">
        <v>304</v>
      </c>
      <c r="D90" s="200" t="s">
        <v>305</v>
      </c>
    </row>
    <row r="91" spans="2:4" ht="13.5" thickBot="1">
      <c r="B91" s="199">
        <v>3</v>
      </c>
      <c r="C91" s="199" t="s">
        <v>306</v>
      </c>
      <c r="D91" s="200" t="s">
        <v>307</v>
      </c>
    </row>
    <row r="92" spans="2:4" ht="13.5" thickBot="1">
      <c r="B92" s="201">
        <v>4</v>
      </c>
      <c r="C92" s="201" t="s">
        <v>308</v>
      </c>
      <c r="D92" s="202" t="s">
        <v>309</v>
      </c>
    </row>
    <row r="93" spans="2:4" ht="13.5" thickBot="1">
      <c r="B93" s="199">
        <v>5</v>
      </c>
      <c r="C93" s="199" t="s">
        <v>310</v>
      </c>
      <c r="D93" s="200" t="s">
        <v>311</v>
      </c>
    </row>
    <row r="94" spans="2:4" ht="13.5" thickBot="1">
      <c r="B94" s="201">
        <v>6</v>
      </c>
      <c r="C94" s="201" t="s">
        <v>312</v>
      </c>
      <c r="D94" s="202" t="s">
        <v>313</v>
      </c>
    </row>
    <row r="96" spans="2:4" ht="13.5" thickBot="1">
      <c r="B96" s="178" t="s">
        <v>314</v>
      </c>
    </row>
    <row r="97" spans="2:6" ht="13.5" thickBot="1">
      <c r="B97" s="203" t="s">
        <v>300</v>
      </c>
      <c r="C97" s="203" t="s">
        <v>315</v>
      </c>
      <c r="D97" s="203" t="s">
        <v>316</v>
      </c>
      <c r="E97" s="203" t="s">
        <v>317</v>
      </c>
      <c r="F97" s="203" t="s">
        <v>318</v>
      </c>
    </row>
    <row r="98" spans="2:6" ht="14.1" thickTop="1" thickBot="1">
      <c r="B98" s="197">
        <v>1</v>
      </c>
      <c r="C98" s="198" t="s">
        <v>319</v>
      </c>
      <c r="D98" s="198" t="s">
        <v>320</v>
      </c>
      <c r="E98" s="198" t="s">
        <v>321</v>
      </c>
      <c r="F98" s="198" t="s">
        <v>322</v>
      </c>
    </row>
    <row r="99" spans="2:6" ht="13.5" thickBot="1">
      <c r="B99" s="199">
        <v>2</v>
      </c>
      <c r="C99" s="200" t="s">
        <v>323</v>
      </c>
      <c r="D99" s="200" t="s">
        <v>324</v>
      </c>
      <c r="E99" s="200" t="s">
        <v>325</v>
      </c>
      <c r="F99" s="200" t="s">
        <v>322</v>
      </c>
    </row>
    <row r="100" spans="2:6" ht="13.5" thickBot="1">
      <c r="B100" s="201">
        <v>3</v>
      </c>
      <c r="C100" s="202" t="s">
        <v>326</v>
      </c>
      <c r="D100" s="202" t="s">
        <v>327</v>
      </c>
      <c r="E100" s="202" t="s">
        <v>328</v>
      </c>
      <c r="F100" s="202" t="s">
        <v>329</v>
      </c>
    </row>
    <row r="101" spans="2:6" ht="13.5" thickBot="1">
      <c r="B101" s="199">
        <v>4</v>
      </c>
      <c r="C101" s="200" t="s">
        <v>330</v>
      </c>
      <c r="D101" s="200" t="s">
        <v>331</v>
      </c>
      <c r="E101" s="200" t="s">
        <v>332</v>
      </c>
      <c r="F101" s="200" t="s">
        <v>322</v>
      </c>
    </row>
    <row r="102" spans="2:6" ht="13.5" thickBot="1">
      <c r="B102" s="201">
        <v>5</v>
      </c>
      <c r="C102" s="202" t="s">
        <v>333</v>
      </c>
      <c r="D102" s="202" t="s">
        <v>334</v>
      </c>
      <c r="E102" s="202" t="s">
        <v>335</v>
      </c>
      <c r="F102" s="202" t="s">
        <v>322</v>
      </c>
    </row>
    <row r="103" spans="2:6" ht="13.5" thickBot="1">
      <c r="B103" s="199">
        <v>6</v>
      </c>
      <c r="C103" s="200" t="s">
        <v>336</v>
      </c>
      <c r="D103" s="200" t="s">
        <v>337</v>
      </c>
      <c r="E103" s="200" t="s">
        <v>338</v>
      </c>
      <c r="F103" s="200" t="s">
        <v>329</v>
      </c>
    </row>
    <row r="104" spans="2:6" ht="13.5" thickBot="1">
      <c r="B104" s="201">
        <v>7</v>
      </c>
      <c r="C104" s="202" t="s">
        <v>339</v>
      </c>
      <c r="D104" s="202" t="s">
        <v>340</v>
      </c>
      <c r="E104" s="202" t="s">
        <v>341</v>
      </c>
      <c r="F104" s="202" t="s">
        <v>329</v>
      </c>
    </row>
    <row r="105" spans="2:6" ht="13.5" thickBot="1">
      <c r="B105" s="199">
        <v>8</v>
      </c>
      <c r="C105" s="200" t="s">
        <v>342</v>
      </c>
      <c r="D105" s="200" t="s">
        <v>343</v>
      </c>
      <c r="E105" s="200" t="s">
        <v>344</v>
      </c>
      <c r="F105" s="200" t="s">
        <v>329</v>
      </c>
    </row>
    <row r="106" spans="2:6" ht="13.5" thickBot="1">
      <c r="B106" s="203" t="s">
        <v>300</v>
      </c>
      <c r="C106" s="203" t="s">
        <v>315</v>
      </c>
      <c r="D106" s="203" t="s">
        <v>316</v>
      </c>
      <c r="E106" s="203" t="s">
        <v>317</v>
      </c>
      <c r="F106" s="203" t="s">
        <v>318</v>
      </c>
    </row>
    <row r="107" spans="2:6" ht="14.1" thickTop="1" thickBot="1">
      <c r="B107" s="197">
        <v>9</v>
      </c>
      <c r="C107" s="198" t="s">
        <v>339</v>
      </c>
      <c r="D107" s="198" t="s">
        <v>345</v>
      </c>
      <c r="E107" s="198" t="s">
        <v>346</v>
      </c>
      <c r="F107" s="198" t="s">
        <v>329</v>
      </c>
    </row>
    <row r="108" spans="2:6" ht="13.5" thickBot="1">
      <c r="B108" s="199">
        <v>10</v>
      </c>
      <c r="C108" s="199" t="s">
        <v>347</v>
      </c>
      <c r="D108" s="200" t="s">
        <v>348</v>
      </c>
      <c r="E108" s="200" t="s">
        <v>349</v>
      </c>
      <c r="F108" s="200" t="s">
        <v>329</v>
      </c>
    </row>
    <row r="109" spans="2:6" ht="13.5" thickBot="1">
      <c r="B109" s="201">
        <v>11</v>
      </c>
      <c r="C109" s="202" t="s">
        <v>350</v>
      </c>
      <c r="D109" s="202" t="s">
        <v>351</v>
      </c>
      <c r="E109" s="202" t="s">
        <v>352</v>
      </c>
      <c r="F109" s="202" t="s">
        <v>329</v>
      </c>
    </row>
    <row r="110" spans="2:6" ht="13.5" thickBot="1">
      <c r="B110" s="199">
        <v>12</v>
      </c>
      <c r="C110" s="200" t="s">
        <v>353</v>
      </c>
      <c r="D110" s="200" t="s">
        <v>354</v>
      </c>
      <c r="E110" s="200" t="s">
        <v>355</v>
      </c>
      <c r="F110" s="200" t="s">
        <v>329</v>
      </c>
    </row>
    <row r="111" spans="2:6" ht="13.5" thickBot="1">
      <c r="B111" s="201">
        <v>13</v>
      </c>
      <c r="C111" s="202" t="s">
        <v>356</v>
      </c>
      <c r="D111" s="202" t="s">
        <v>357</v>
      </c>
      <c r="E111" s="202" t="s">
        <v>358</v>
      </c>
      <c r="F111" s="202" t="s">
        <v>329</v>
      </c>
    </row>
    <row r="112" spans="2:6" ht="13.5" thickBot="1">
      <c r="B112" s="199">
        <v>14</v>
      </c>
      <c r="C112" s="200" t="s">
        <v>356</v>
      </c>
      <c r="D112" s="200" t="s">
        <v>359</v>
      </c>
      <c r="E112" s="200" t="s">
        <v>360</v>
      </c>
      <c r="F112" s="200" t="s">
        <v>329</v>
      </c>
    </row>
    <row r="113" spans="2:6" ht="13.5" thickBot="1">
      <c r="B113" s="201">
        <v>15</v>
      </c>
      <c r="C113" s="202" t="s">
        <v>361</v>
      </c>
      <c r="D113" s="202" t="s">
        <v>362</v>
      </c>
      <c r="E113" s="202" t="s">
        <v>363</v>
      </c>
      <c r="F113" s="202" t="s">
        <v>329</v>
      </c>
    </row>
    <row r="114" spans="2:6" ht="13.5" thickBot="1">
      <c r="B114" s="199">
        <v>16</v>
      </c>
      <c r="C114" s="200" t="s">
        <v>361</v>
      </c>
      <c r="D114" s="200" t="s">
        <v>364</v>
      </c>
      <c r="E114" s="200" t="s">
        <v>365</v>
      </c>
      <c r="F114" s="200" t="s">
        <v>329</v>
      </c>
    </row>
    <row r="115" spans="2:6" ht="13.5" thickBot="1"/>
    <row r="116" spans="2:6" ht="13.5" thickBot="1">
      <c r="B116" s="203" t="s">
        <v>300</v>
      </c>
      <c r="C116" s="203" t="s">
        <v>315</v>
      </c>
      <c r="D116" s="203" t="s">
        <v>316</v>
      </c>
      <c r="E116" s="203" t="s">
        <v>317</v>
      </c>
      <c r="F116" s="203" t="s">
        <v>318</v>
      </c>
    </row>
    <row r="117" spans="2:6" ht="14.1" thickTop="1" thickBot="1">
      <c r="B117" s="197">
        <v>17</v>
      </c>
      <c r="C117" s="198" t="s">
        <v>366</v>
      </c>
      <c r="D117" s="198" t="s">
        <v>367</v>
      </c>
      <c r="E117" s="198" t="s">
        <v>368</v>
      </c>
      <c r="F117" s="198" t="s">
        <v>329</v>
      </c>
    </row>
    <row r="118" spans="2:6" ht="13.5" thickBot="1">
      <c r="B118" s="199">
        <v>18</v>
      </c>
      <c r="C118" s="200" t="s">
        <v>369</v>
      </c>
      <c r="D118" s="200" t="s">
        <v>370</v>
      </c>
      <c r="E118" s="200" t="s">
        <v>371</v>
      </c>
      <c r="F118" s="200" t="s">
        <v>329</v>
      </c>
    </row>
    <row r="119" spans="2:6" ht="13.5" thickBot="1">
      <c r="B119" s="201">
        <v>19</v>
      </c>
      <c r="C119" s="202" t="s">
        <v>372</v>
      </c>
      <c r="D119" s="202" t="s">
        <v>373</v>
      </c>
      <c r="E119" s="202" t="s">
        <v>374</v>
      </c>
      <c r="F119" s="202" t="s">
        <v>329</v>
      </c>
    </row>
    <row r="120" spans="2:6" ht="13.5" thickBot="1">
      <c r="B120" s="199">
        <v>20</v>
      </c>
      <c r="C120" s="200" t="s">
        <v>375</v>
      </c>
      <c r="D120" s="200" t="s">
        <v>376</v>
      </c>
      <c r="E120" s="200" t="s">
        <v>377</v>
      </c>
      <c r="F120" s="200" t="s">
        <v>329</v>
      </c>
    </row>
    <row r="121" spans="2:6" ht="13.5" thickBot="1">
      <c r="B121" s="201">
        <v>21</v>
      </c>
      <c r="C121" s="201" t="s">
        <v>378</v>
      </c>
      <c r="D121" s="202" t="s">
        <v>379</v>
      </c>
      <c r="E121" s="202" t="s">
        <v>380</v>
      </c>
      <c r="F121" s="202" t="s">
        <v>322</v>
      </c>
    </row>
    <row r="122" spans="2:6" ht="13.5" thickBot="1">
      <c r="B122" s="199">
        <v>22</v>
      </c>
      <c r="C122" s="199" t="s">
        <v>381</v>
      </c>
      <c r="D122" s="200" t="s">
        <v>382</v>
      </c>
      <c r="E122" s="200" t="s">
        <v>383</v>
      </c>
      <c r="F122" s="200" t="s">
        <v>329</v>
      </c>
    </row>
    <row r="124" spans="2:6">
      <c r="B124" s="178" t="s">
        <v>384</v>
      </c>
    </row>
    <row r="125" spans="2:6" ht="13.5" thickBot="1"/>
    <row r="126" spans="2:6" ht="13.5" thickBot="1">
      <c r="B126" s="203" t="s">
        <v>300</v>
      </c>
      <c r="C126" s="203" t="s">
        <v>315</v>
      </c>
      <c r="D126" s="203" t="s">
        <v>385</v>
      </c>
      <c r="E126" s="203" t="s">
        <v>386</v>
      </c>
    </row>
    <row r="127" spans="2:6" ht="14.1" thickTop="1" thickBot="1">
      <c r="B127" s="197">
        <v>1</v>
      </c>
      <c r="C127" s="197" t="s">
        <v>387</v>
      </c>
      <c r="D127" s="198" t="s">
        <v>388</v>
      </c>
      <c r="E127" s="198" t="s">
        <v>389</v>
      </c>
    </row>
    <row r="128" spans="2:6" ht="13.5" thickBot="1">
      <c r="B128" s="199">
        <v>2</v>
      </c>
      <c r="C128" s="199" t="s">
        <v>387</v>
      </c>
      <c r="D128" s="200" t="s">
        <v>390</v>
      </c>
      <c r="E128" s="200" t="s">
        <v>391</v>
      </c>
    </row>
    <row r="129" spans="2:5" ht="13.5" thickBot="1">
      <c r="B129" s="201">
        <v>3</v>
      </c>
      <c r="C129" s="201" t="s">
        <v>387</v>
      </c>
      <c r="D129" s="202" t="s">
        <v>392</v>
      </c>
      <c r="E129" s="202" t="s">
        <v>393</v>
      </c>
    </row>
    <row r="131" spans="2:5">
      <c r="B131" s="178" t="s">
        <v>394</v>
      </c>
    </row>
    <row r="132" spans="2:5" ht="13.5" thickBot="1"/>
    <row r="133" spans="2:5" ht="13.5" thickBot="1">
      <c r="B133" s="203" t="s">
        <v>300</v>
      </c>
      <c r="C133" s="203" t="s">
        <v>315</v>
      </c>
      <c r="D133" s="203" t="s">
        <v>395</v>
      </c>
    </row>
    <row r="134" spans="2:5" ht="14.1" thickTop="1" thickBot="1">
      <c r="B134" s="197">
        <v>1</v>
      </c>
      <c r="C134" s="198" t="s">
        <v>396</v>
      </c>
      <c r="D134" s="198" t="s">
        <v>397</v>
      </c>
    </row>
    <row r="135" spans="2:5" ht="13.5" thickBot="1">
      <c r="B135" s="199">
        <v>2</v>
      </c>
      <c r="C135" s="200" t="s">
        <v>398</v>
      </c>
      <c r="D135" s="200" t="s">
        <v>399</v>
      </c>
    </row>
    <row r="138" spans="2:5">
      <c r="B138" s="179" t="s">
        <v>400</v>
      </c>
    </row>
    <row r="140" spans="2:5" ht="39">
      <c r="B140" s="155">
        <v>1</v>
      </c>
      <c r="C140" s="184" t="s">
        <v>401</v>
      </c>
      <c r="D140" s="204" t="s">
        <v>402</v>
      </c>
    </row>
    <row r="141" spans="2:5" ht="26.1">
      <c r="B141" s="155">
        <v>2</v>
      </c>
      <c r="C141" s="184" t="s">
        <v>401</v>
      </c>
      <c r="D141" s="204" t="s">
        <v>403</v>
      </c>
    </row>
    <row r="142" spans="2:5" ht="26.1">
      <c r="B142" s="155">
        <v>3</v>
      </c>
      <c r="C142" s="184" t="s">
        <v>401</v>
      </c>
      <c r="D142" s="204" t="s">
        <v>404</v>
      </c>
    </row>
    <row r="143" spans="2:5" ht="51.95">
      <c r="B143" s="155">
        <v>4</v>
      </c>
      <c r="C143" s="155" t="s">
        <v>405</v>
      </c>
      <c r="D143" s="204" t="s">
        <v>406</v>
      </c>
    </row>
    <row r="144" spans="2:5" ht="26.1">
      <c r="B144" s="155">
        <v>5</v>
      </c>
      <c r="C144" s="155" t="s">
        <v>405</v>
      </c>
      <c r="D144" s="204" t="s">
        <v>407</v>
      </c>
    </row>
    <row r="145" spans="2:4" ht="26.1">
      <c r="B145" s="155">
        <v>6</v>
      </c>
      <c r="C145" s="155" t="s">
        <v>408</v>
      </c>
      <c r="D145" s="204" t="s">
        <v>409</v>
      </c>
    </row>
    <row r="146" spans="2:4" ht="51.95">
      <c r="B146" s="155">
        <v>7</v>
      </c>
      <c r="C146" s="155" t="s">
        <v>408</v>
      </c>
      <c r="D146" s="204" t="s">
        <v>410</v>
      </c>
    </row>
    <row r="147" spans="2:4" ht="39">
      <c r="B147" s="155">
        <v>8</v>
      </c>
      <c r="C147" s="155" t="s">
        <v>408</v>
      </c>
      <c r="D147" s="204" t="s">
        <v>411</v>
      </c>
    </row>
    <row r="148" spans="2:4" ht="39">
      <c r="B148" s="155">
        <v>9</v>
      </c>
      <c r="C148" s="155" t="s">
        <v>408</v>
      </c>
      <c r="D148" s="204" t="s">
        <v>412</v>
      </c>
    </row>
    <row r="149" spans="2:4" ht="39">
      <c r="B149" s="155">
        <v>10</v>
      </c>
      <c r="C149" s="155" t="s">
        <v>408</v>
      </c>
      <c r="D149" s="204" t="s">
        <v>413</v>
      </c>
    </row>
    <row r="150" spans="2:4" ht="39">
      <c r="B150" s="155">
        <v>11</v>
      </c>
      <c r="C150" s="155" t="s">
        <v>414</v>
      </c>
      <c r="D150" s="204" t="s">
        <v>415</v>
      </c>
    </row>
    <row r="151" spans="2:4" ht="39">
      <c r="B151" s="155">
        <v>12</v>
      </c>
      <c r="C151" s="155" t="s">
        <v>414</v>
      </c>
      <c r="D151" s="204" t="s">
        <v>416</v>
      </c>
    </row>
    <row r="152" spans="2:4" ht="39">
      <c r="B152" s="155">
        <v>13</v>
      </c>
      <c r="C152" s="155" t="s">
        <v>414</v>
      </c>
      <c r="D152" s="204" t="s">
        <v>417</v>
      </c>
    </row>
    <row r="153" spans="2:4" ht="39">
      <c r="B153" s="155">
        <v>14</v>
      </c>
      <c r="C153" s="155" t="s">
        <v>418</v>
      </c>
      <c r="D153" s="204" t="s">
        <v>419</v>
      </c>
    </row>
    <row r="154" spans="2:4" ht="39">
      <c r="B154" s="155">
        <v>15</v>
      </c>
      <c r="C154" s="155" t="s">
        <v>418</v>
      </c>
      <c r="D154" s="204" t="s">
        <v>420</v>
      </c>
    </row>
    <row r="155" spans="2:4" ht="26.1">
      <c r="B155" s="155">
        <v>16</v>
      </c>
      <c r="C155" s="155" t="s">
        <v>421</v>
      </c>
      <c r="D155" s="204" t="s">
        <v>422</v>
      </c>
    </row>
    <row r="156" spans="2:4" ht="39">
      <c r="B156" s="155">
        <v>17</v>
      </c>
      <c r="C156" s="155" t="s">
        <v>421</v>
      </c>
      <c r="D156" s="204" t="s">
        <v>423</v>
      </c>
    </row>
    <row r="157" spans="2:4" ht="26.1">
      <c r="B157" s="155">
        <v>18</v>
      </c>
      <c r="C157" s="155" t="s">
        <v>421</v>
      </c>
      <c r="D157" s="204" t="s">
        <v>424</v>
      </c>
    </row>
    <row r="158" spans="2:4">
      <c r="B158" s="155">
        <v>19</v>
      </c>
      <c r="C158" s="155" t="s">
        <v>425</v>
      </c>
      <c r="D158" s="204" t="s">
        <v>426</v>
      </c>
    </row>
    <row r="159" spans="2:4" ht="26.1">
      <c r="B159" s="155">
        <v>20</v>
      </c>
      <c r="C159" s="155" t="s">
        <v>425</v>
      </c>
      <c r="D159" s="204" t="s">
        <v>427</v>
      </c>
    </row>
    <row r="160" spans="2:4">
      <c r="B160" s="155" t="s">
        <v>428</v>
      </c>
    </row>
    <row r="181" spans="2:10" ht="13.5" thickBot="1">
      <c r="B181" s="180" t="s">
        <v>429</v>
      </c>
    </row>
    <row r="182" spans="2:10" ht="13.5" thickBot="1">
      <c r="B182" s="205" t="s">
        <v>430</v>
      </c>
      <c r="C182" s="205" t="s">
        <v>431</v>
      </c>
      <c r="D182" s="205" t="s">
        <v>432</v>
      </c>
      <c r="E182" s="205" t="s">
        <v>433</v>
      </c>
      <c r="F182" s="205" t="s">
        <v>434</v>
      </c>
      <c r="G182" s="205" t="s">
        <v>435</v>
      </c>
      <c r="H182" s="205" t="s">
        <v>436</v>
      </c>
      <c r="I182" s="205" t="s">
        <v>437</v>
      </c>
      <c r="J182" s="205" t="s">
        <v>438</v>
      </c>
    </row>
    <row r="183" spans="2:10" ht="13.5" thickBot="1">
      <c r="B183" s="206" t="s">
        <v>439</v>
      </c>
      <c r="C183" s="206" t="s">
        <v>440</v>
      </c>
      <c r="D183" s="206" t="s">
        <v>441</v>
      </c>
      <c r="E183" s="207" t="s">
        <v>442</v>
      </c>
      <c r="F183" s="206" t="s">
        <v>443</v>
      </c>
      <c r="G183" s="206" t="s">
        <v>444</v>
      </c>
      <c r="H183" s="206" t="s">
        <v>443</v>
      </c>
      <c r="I183" s="206" t="s">
        <v>444</v>
      </c>
      <c r="J183" s="206" t="s">
        <v>445</v>
      </c>
    </row>
    <row r="184" spans="2:10" ht="13.5" thickBot="1">
      <c r="B184" s="206" t="s">
        <v>439</v>
      </c>
      <c r="C184" s="206" t="s">
        <v>446</v>
      </c>
      <c r="D184" s="206" t="s">
        <v>447</v>
      </c>
      <c r="E184" s="207" t="s">
        <v>448</v>
      </c>
      <c r="F184" s="206" t="s">
        <v>449</v>
      </c>
      <c r="G184" s="206" t="s">
        <v>450</v>
      </c>
      <c r="H184" s="206" t="s">
        <v>449</v>
      </c>
      <c r="I184" s="206" t="s">
        <v>450</v>
      </c>
      <c r="J184" s="206" t="s">
        <v>445</v>
      </c>
    </row>
    <row r="185" spans="2:10" ht="13.5" thickBot="1">
      <c r="B185" s="206" t="s">
        <v>439</v>
      </c>
      <c r="C185" s="206" t="s">
        <v>451</v>
      </c>
      <c r="D185" s="206" t="s">
        <v>452</v>
      </c>
      <c r="E185" s="207" t="s">
        <v>453</v>
      </c>
      <c r="F185" s="206" t="s">
        <v>449</v>
      </c>
      <c r="G185" s="206" t="s">
        <v>454</v>
      </c>
      <c r="H185" s="206" t="s">
        <v>449</v>
      </c>
      <c r="I185" s="206" t="s">
        <v>454</v>
      </c>
      <c r="J185" s="206" t="s">
        <v>445</v>
      </c>
    </row>
    <row r="186" spans="2:10">
      <c r="B186" s="306" t="s">
        <v>439</v>
      </c>
      <c r="C186" s="306" t="s">
        <v>455</v>
      </c>
      <c r="D186" s="306" t="s">
        <v>456</v>
      </c>
      <c r="E186" s="208" t="s">
        <v>457</v>
      </c>
      <c r="F186" s="306" t="s">
        <v>458</v>
      </c>
      <c r="G186" s="306" t="s">
        <v>459</v>
      </c>
      <c r="H186" s="306" t="s">
        <v>458</v>
      </c>
      <c r="I186" s="306" t="s">
        <v>459</v>
      </c>
      <c r="J186" s="306" t="s">
        <v>445</v>
      </c>
    </row>
    <row r="187" spans="2:10">
      <c r="B187" s="307"/>
      <c r="C187" s="307"/>
      <c r="D187" s="307"/>
      <c r="E187" s="209" t="s">
        <v>460</v>
      </c>
      <c r="F187" s="307"/>
      <c r="G187" s="307"/>
      <c r="H187" s="307"/>
      <c r="I187" s="307"/>
      <c r="J187" s="307"/>
    </row>
    <row r="188" spans="2:10">
      <c r="B188" s="307"/>
      <c r="C188" s="307"/>
      <c r="D188" s="307"/>
      <c r="E188" s="209" t="s">
        <v>461</v>
      </c>
      <c r="F188" s="307"/>
      <c r="G188" s="307"/>
      <c r="H188" s="307"/>
      <c r="I188" s="307"/>
      <c r="J188" s="307"/>
    </row>
    <row r="189" spans="2:10" ht="13.5" thickBot="1">
      <c r="B189" s="308"/>
      <c r="C189" s="308"/>
      <c r="D189" s="308"/>
      <c r="E189" s="210" t="s">
        <v>462</v>
      </c>
      <c r="F189" s="308"/>
      <c r="G189" s="308"/>
      <c r="H189" s="308"/>
      <c r="I189" s="308"/>
      <c r="J189" s="308"/>
    </row>
    <row r="190" spans="2:10">
      <c r="B190" s="306" t="s">
        <v>439</v>
      </c>
      <c r="C190" s="306" t="s">
        <v>463</v>
      </c>
      <c r="D190" s="306" t="s">
        <v>464</v>
      </c>
      <c r="E190" s="208" t="s">
        <v>465</v>
      </c>
      <c r="F190" s="309">
        <v>0.98</v>
      </c>
      <c r="G190" s="309">
        <v>1</v>
      </c>
      <c r="H190" s="309">
        <v>0.98</v>
      </c>
      <c r="I190" s="309">
        <v>1</v>
      </c>
      <c r="J190" s="306" t="s">
        <v>445</v>
      </c>
    </row>
    <row r="191" spans="2:10" ht="13.5" thickBot="1">
      <c r="B191" s="308"/>
      <c r="C191" s="308"/>
      <c r="D191" s="308"/>
      <c r="E191" s="210" t="s">
        <v>466</v>
      </c>
      <c r="F191" s="310"/>
      <c r="G191" s="310"/>
      <c r="H191" s="310"/>
      <c r="I191" s="310"/>
      <c r="J191" s="308"/>
    </row>
    <row r="192" spans="2:10" ht="13.5" thickBot="1">
      <c r="B192" s="178" t="s">
        <v>467</v>
      </c>
    </row>
    <row r="193" spans="2:10" ht="13.5" thickBot="1">
      <c r="B193" s="205" t="s">
        <v>430</v>
      </c>
      <c r="C193" s="205" t="s">
        <v>431</v>
      </c>
      <c r="D193" s="205" t="s">
        <v>432</v>
      </c>
      <c r="E193" s="205" t="s">
        <v>433</v>
      </c>
      <c r="F193" s="205" t="s">
        <v>434</v>
      </c>
      <c r="G193" s="205" t="s">
        <v>435</v>
      </c>
      <c r="H193" s="205" t="s">
        <v>436</v>
      </c>
      <c r="I193" s="205" t="s">
        <v>437</v>
      </c>
      <c r="J193" s="205" t="s">
        <v>438</v>
      </c>
    </row>
    <row r="194" spans="2:10" ht="13.5" thickBot="1">
      <c r="B194" s="206" t="s">
        <v>143</v>
      </c>
      <c r="C194" s="206" t="s">
        <v>468</v>
      </c>
      <c r="D194" s="206" t="s">
        <v>469</v>
      </c>
      <c r="E194" s="207" t="s">
        <v>470</v>
      </c>
      <c r="F194" s="206" t="s">
        <v>471</v>
      </c>
      <c r="G194" s="211" t="s">
        <v>472</v>
      </c>
      <c r="H194" s="211" t="s">
        <v>473</v>
      </c>
      <c r="I194" s="211" t="s">
        <v>474</v>
      </c>
      <c r="J194" s="206" t="s">
        <v>445</v>
      </c>
    </row>
    <row r="195" spans="2:10" ht="13.5" thickBot="1">
      <c r="B195" s="206" t="s">
        <v>143</v>
      </c>
      <c r="C195" s="206" t="s">
        <v>475</v>
      </c>
      <c r="D195" s="206" t="s">
        <v>469</v>
      </c>
      <c r="E195" s="207" t="s">
        <v>476</v>
      </c>
      <c r="F195" s="206" t="s">
        <v>477</v>
      </c>
      <c r="G195" s="206" t="s">
        <v>478</v>
      </c>
      <c r="H195" s="206" t="s">
        <v>479</v>
      </c>
      <c r="I195" s="206" t="s">
        <v>479</v>
      </c>
      <c r="J195" s="206" t="s">
        <v>445</v>
      </c>
    </row>
    <row r="196" spans="2:10" ht="13.5" thickBot="1">
      <c r="B196" s="206" t="s">
        <v>143</v>
      </c>
      <c r="C196" s="206" t="s">
        <v>480</v>
      </c>
      <c r="D196" s="206" t="s">
        <v>481</v>
      </c>
      <c r="E196" s="207" t="s">
        <v>482</v>
      </c>
      <c r="F196" s="206" t="s">
        <v>449</v>
      </c>
      <c r="G196" s="206" t="s">
        <v>454</v>
      </c>
      <c r="H196" s="206" t="s">
        <v>449</v>
      </c>
      <c r="I196" s="206" t="s">
        <v>454</v>
      </c>
      <c r="J196" s="206" t="s">
        <v>445</v>
      </c>
    </row>
    <row r="197" spans="2:10" ht="13.5" thickBot="1">
      <c r="B197" s="206" t="s">
        <v>143</v>
      </c>
      <c r="C197" s="206" t="s">
        <v>483</v>
      </c>
      <c r="D197" s="206" t="s">
        <v>464</v>
      </c>
      <c r="E197" s="207" t="s">
        <v>484</v>
      </c>
      <c r="F197" s="206" t="s">
        <v>449</v>
      </c>
      <c r="G197" s="206" t="s">
        <v>454</v>
      </c>
      <c r="H197" s="206" t="s">
        <v>449</v>
      </c>
      <c r="I197" s="206" t="s">
        <v>454</v>
      </c>
      <c r="J197" s="206" t="s">
        <v>445</v>
      </c>
    </row>
    <row r="198" spans="2:10" ht="13.5" thickBot="1">
      <c r="B198" s="206" t="s">
        <v>143</v>
      </c>
      <c r="C198" s="206" t="s">
        <v>485</v>
      </c>
      <c r="D198" s="206" t="s">
        <v>486</v>
      </c>
      <c r="E198" s="207" t="s">
        <v>487</v>
      </c>
      <c r="F198" s="206" t="s">
        <v>488</v>
      </c>
      <c r="G198" s="206" t="s">
        <v>454</v>
      </c>
      <c r="H198" s="206" t="s">
        <v>488</v>
      </c>
      <c r="I198" s="206" t="s">
        <v>454</v>
      </c>
      <c r="J198" s="206" t="s">
        <v>445</v>
      </c>
    </row>
    <row r="199" spans="2:10" ht="13.5" thickBot="1">
      <c r="B199" s="206" t="s">
        <v>143</v>
      </c>
      <c r="C199" s="206" t="s">
        <v>489</v>
      </c>
      <c r="D199" s="206" t="s">
        <v>490</v>
      </c>
      <c r="E199" s="207" t="s">
        <v>491</v>
      </c>
      <c r="F199" s="206" t="s">
        <v>492</v>
      </c>
      <c r="G199" s="206" t="s">
        <v>493</v>
      </c>
      <c r="H199" s="206" t="s">
        <v>494</v>
      </c>
      <c r="I199" s="206" t="s">
        <v>492</v>
      </c>
      <c r="J199" s="206" t="s">
        <v>445</v>
      </c>
    </row>
    <row r="200" spans="2:10" ht="13.5" thickBot="1">
      <c r="B200" s="206" t="s">
        <v>143</v>
      </c>
      <c r="C200" s="206" t="s">
        <v>495</v>
      </c>
      <c r="D200" s="206" t="s">
        <v>490</v>
      </c>
      <c r="E200" s="207" t="s">
        <v>496</v>
      </c>
      <c r="F200" s="206" t="s">
        <v>497</v>
      </c>
      <c r="G200" s="206" t="s">
        <v>493</v>
      </c>
      <c r="H200" s="206" t="s">
        <v>498</v>
      </c>
      <c r="I200" s="206" t="s">
        <v>497</v>
      </c>
      <c r="J200" s="206" t="s">
        <v>445</v>
      </c>
    </row>
    <row r="201" spans="2:10" ht="13.5" thickBot="1">
      <c r="B201" s="178" t="s">
        <v>499</v>
      </c>
    </row>
    <row r="202" spans="2:10" ht="13.5" thickBot="1">
      <c r="B202" s="205" t="s">
        <v>430</v>
      </c>
      <c r="C202" s="205" t="s">
        <v>431</v>
      </c>
      <c r="D202" s="205" t="s">
        <v>432</v>
      </c>
      <c r="E202" s="205" t="s">
        <v>433</v>
      </c>
      <c r="F202" s="205" t="s">
        <v>434</v>
      </c>
      <c r="G202" s="205" t="s">
        <v>435</v>
      </c>
      <c r="H202" s="205" t="s">
        <v>436</v>
      </c>
      <c r="I202" s="205" t="s">
        <v>437</v>
      </c>
      <c r="J202" s="205" t="s">
        <v>438</v>
      </c>
    </row>
    <row r="203" spans="2:10" ht="13.5" thickBot="1">
      <c r="B203" s="206" t="s">
        <v>500</v>
      </c>
      <c r="C203" s="206" t="s">
        <v>501</v>
      </c>
      <c r="D203" s="206" t="s">
        <v>502</v>
      </c>
      <c r="E203" s="207" t="s">
        <v>503</v>
      </c>
      <c r="F203" s="212">
        <v>0.95</v>
      </c>
      <c r="G203" s="212">
        <v>1</v>
      </c>
      <c r="H203" s="212">
        <v>0.95</v>
      </c>
      <c r="I203" s="206" t="s">
        <v>504</v>
      </c>
      <c r="J203" s="206" t="s">
        <v>445</v>
      </c>
    </row>
    <row r="204" spans="2:10">
      <c r="B204" s="306" t="s">
        <v>500</v>
      </c>
      <c r="C204" s="306" t="s">
        <v>505</v>
      </c>
      <c r="D204" s="306" t="s">
        <v>506</v>
      </c>
      <c r="E204" s="208" t="s">
        <v>507</v>
      </c>
      <c r="F204" s="309">
        <v>0.98</v>
      </c>
      <c r="G204" s="309">
        <v>1</v>
      </c>
      <c r="H204" s="309">
        <v>0.98</v>
      </c>
      <c r="I204" s="309">
        <v>1</v>
      </c>
      <c r="J204" s="306" t="s">
        <v>445</v>
      </c>
    </row>
    <row r="205" spans="2:10" ht="13.5" thickBot="1">
      <c r="B205" s="308"/>
      <c r="C205" s="308"/>
      <c r="D205" s="308"/>
      <c r="E205" s="210" t="s">
        <v>508</v>
      </c>
      <c r="F205" s="310"/>
      <c r="G205" s="310"/>
      <c r="H205" s="310"/>
      <c r="I205" s="310"/>
      <c r="J205" s="308"/>
    </row>
    <row r="206" spans="2:10" ht="13.5" thickBot="1">
      <c r="B206" s="206" t="s">
        <v>500</v>
      </c>
      <c r="C206" s="206" t="s">
        <v>509</v>
      </c>
      <c r="D206" s="206" t="s">
        <v>510</v>
      </c>
      <c r="E206" s="207" t="s">
        <v>511</v>
      </c>
      <c r="F206" s="212">
        <v>0.95</v>
      </c>
      <c r="G206" s="212">
        <v>1</v>
      </c>
      <c r="H206" s="212">
        <v>0.95</v>
      </c>
      <c r="I206" s="212">
        <v>1</v>
      </c>
      <c r="J206" s="206" t="s">
        <v>445</v>
      </c>
    </row>
    <row r="207" spans="2:10" ht="13.5" thickBot="1">
      <c r="B207" s="206" t="s">
        <v>500</v>
      </c>
      <c r="C207" s="206" t="s">
        <v>512</v>
      </c>
      <c r="D207" s="206" t="s">
        <v>490</v>
      </c>
      <c r="E207" s="207" t="s">
        <v>513</v>
      </c>
      <c r="F207" s="212">
        <v>0.8</v>
      </c>
      <c r="G207" s="206" t="s">
        <v>488</v>
      </c>
      <c r="H207" s="212">
        <v>0.75</v>
      </c>
      <c r="I207" s="212">
        <v>0.85</v>
      </c>
      <c r="J207" s="206" t="s">
        <v>445</v>
      </c>
    </row>
    <row r="208" spans="2:10" ht="13.5" thickBot="1">
      <c r="B208" s="206" t="s">
        <v>500</v>
      </c>
      <c r="C208" s="206" t="s">
        <v>514</v>
      </c>
      <c r="D208" s="206" t="s">
        <v>469</v>
      </c>
      <c r="E208" s="207" t="s">
        <v>515</v>
      </c>
      <c r="F208" s="211" t="s">
        <v>516</v>
      </c>
      <c r="G208" s="211" t="s">
        <v>517</v>
      </c>
      <c r="H208" s="206" t="s">
        <v>518</v>
      </c>
      <c r="I208" s="206" t="s">
        <v>519</v>
      </c>
      <c r="J208" s="206" t="s">
        <v>445</v>
      </c>
    </row>
    <row r="209" spans="2:10" ht="13.5" thickBot="1">
      <c r="B209" s="206" t="s">
        <v>500</v>
      </c>
      <c r="C209" s="206" t="s">
        <v>520</v>
      </c>
      <c r="D209" s="206" t="s">
        <v>521</v>
      </c>
      <c r="E209" s="207" t="s">
        <v>522</v>
      </c>
      <c r="F209" s="206" t="s">
        <v>488</v>
      </c>
      <c r="G209" s="206" t="s">
        <v>449</v>
      </c>
      <c r="H209" s="206" t="s">
        <v>488</v>
      </c>
      <c r="I209" s="206" t="s">
        <v>449</v>
      </c>
      <c r="J209" s="206" t="s">
        <v>445</v>
      </c>
    </row>
    <row r="210" spans="2:10" ht="13.5" thickBot="1">
      <c r="B210" s="206" t="s">
        <v>500</v>
      </c>
      <c r="C210" s="206" t="s">
        <v>523</v>
      </c>
      <c r="D210" s="206" t="s">
        <v>469</v>
      </c>
      <c r="E210" s="207" t="s">
        <v>524</v>
      </c>
      <c r="F210" s="206" t="s">
        <v>525</v>
      </c>
      <c r="G210" s="206" t="s">
        <v>526</v>
      </c>
      <c r="H210" s="206" t="s">
        <v>488</v>
      </c>
      <c r="I210" s="206" t="s">
        <v>527</v>
      </c>
      <c r="J210" s="206" t="s">
        <v>445</v>
      </c>
    </row>
    <row r="211" spans="2:10" ht="13.5" thickBot="1">
      <c r="B211" s="206" t="s">
        <v>500</v>
      </c>
      <c r="C211" s="206" t="s">
        <v>528</v>
      </c>
      <c r="D211" s="206" t="s">
        <v>456</v>
      </c>
      <c r="E211" s="207" t="s">
        <v>529</v>
      </c>
      <c r="F211" s="206" t="s">
        <v>454</v>
      </c>
      <c r="G211" s="212">
        <v>1</v>
      </c>
      <c r="H211" s="206" t="s">
        <v>454</v>
      </c>
      <c r="I211" s="212">
        <v>1</v>
      </c>
      <c r="J211" s="206" t="s">
        <v>445</v>
      </c>
    </row>
    <row r="212" spans="2:10" ht="13.5" thickBot="1">
      <c r="B212" s="206" t="s">
        <v>500</v>
      </c>
      <c r="C212" s="206" t="s">
        <v>530</v>
      </c>
      <c r="D212" s="206" t="s">
        <v>456</v>
      </c>
      <c r="E212" s="207" t="s">
        <v>531</v>
      </c>
      <c r="F212" s="206" t="s">
        <v>488</v>
      </c>
      <c r="G212" s="206" t="s">
        <v>449</v>
      </c>
      <c r="H212" s="206" t="s">
        <v>488</v>
      </c>
      <c r="I212" s="206" t="s">
        <v>449</v>
      </c>
      <c r="J212" s="206" t="s">
        <v>445</v>
      </c>
    </row>
    <row r="215" spans="2:10" ht="13.5" thickBot="1">
      <c r="B215" s="178" t="s">
        <v>532</v>
      </c>
    </row>
    <row r="216" spans="2:10" ht="13.5" thickBot="1">
      <c r="B216" s="181" t="s">
        <v>533</v>
      </c>
      <c r="C216" s="181" t="s">
        <v>534</v>
      </c>
      <c r="D216" s="181" t="s">
        <v>535</v>
      </c>
      <c r="E216" s="181" t="s">
        <v>536</v>
      </c>
      <c r="F216" s="181" t="s">
        <v>537</v>
      </c>
      <c r="G216" s="181" t="s">
        <v>538</v>
      </c>
      <c r="H216" s="181" t="s">
        <v>539</v>
      </c>
      <c r="I216" s="181" t="s">
        <v>540</v>
      </c>
    </row>
    <row r="217" spans="2:10" ht="13.5" thickBot="1">
      <c r="B217" s="182">
        <v>1</v>
      </c>
      <c r="C217" s="183" t="s">
        <v>541</v>
      </c>
      <c r="D217" s="183" t="s">
        <v>542</v>
      </c>
      <c r="E217" s="183" t="s">
        <v>543</v>
      </c>
      <c r="F217" s="182" t="s">
        <v>544</v>
      </c>
      <c r="G217" s="183" t="s">
        <v>545</v>
      </c>
      <c r="H217" s="183" t="s">
        <v>546</v>
      </c>
      <c r="I217" s="183" t="s">
        <v>547</v>
      </c>
    </row>
    <row r="218" spans="2:10" ht="13.5" thickBot="1">
      <c r="B218" s="182">
        <v>2</v>
      </c>
      <c r="C218" s="183" t="s">
        <v>548</v>
      </c>
      <c r="D218" s="183" t="s">
        <v>549</v>
      </c>
      <c r="E218" s="183" t="s">
        <v>550</v>
      </c>
      <c r="F218" s="182" t="s">
        <v>551</v>
      </c>
      <c r="G218" s="183" t="s">
        <v>552</v>
      </c>
      <c r="H218" s="183" t="s">
        <v>553</v>
      </c>
      <c r="I218" s="183" t="s">
        <v>547</v>
      </c>
    </row>
    <row r="219" spans="2:10" ht="13.5" thickBot="1">
      <c r="B219" s="182">
        <v>3</v>
      </c>
      <c r="C219" s="183" t="s">
        <v>554</v>
      </c>
      <c r="D219" s="183" t="s">
        <v>555</v>
      </c>
      <c r="E219" s="183" t="s">
        <v>556</v>
      </c>
      <c r="F219" s="182" t="s">
        <v>551</v>
      </c>
      <c r="G219" s="183" t="s">
        <v>557</v>
      </c>
      <c r="H219" s="183" t="s">
        <v>558</v>
      </c>
      <c r="I219" s="183" t="s">
        <v>559</v>
      </c>
    </row>
    <row r="220" spans="2:10" ht="13.5" thickBot="1">
      <c r="B220" s="182">
        <v>4</v>
      </c>
      <c r="C220" s="183" t="s">
        <v>560</v>
      </c>
      <c r="D220" s="183" t="s">
        <v>561</v>
      </c>
      <c r="E220" s="183" t="s">
        <v>562</v>
      </c>
      <c r="F220" s="182" t="s">
        <v>551</v>
      </c>
      <c r="G220" s="183" t="s">
        <v>563</v>
      </c>
      <c r="H220" s="183" t="s">
        <v>564</v>
      </c>
      <c r="I220" s="183" t="s">
        <v>565</v>
      </c>
    </row>
    <row r="221" spans="2:10" ht="13.5" thickBot="1">
      <c r="B221" s="182">
        <v>5</v>
      </c>
      <c r="C221" s="183" t="s">
        <v>566</v>
      </c>
      <c r="D221" s="183" t="s">
        <v>567</v>
      </c>
      <c r="E221" s="183" t="s">
        <v>568</v>
      </c>
      <c r="F221" s="182" t="s">
        <v>569</v>
      </c>
      <c r="G221" s="183" t="s">
        <v>570</v>
      </c>
      <c r="H221" s="183" t="s">
        <v>571</v>
      </c>
      <c r="I221" s="183" t="s">
        <v>572</v>
      </c>
    </row>
    <row r="222" spans="2:10" ht="13.5" thickBot="1">
      <c r="B222" s="182">
        <v>6</v>
      </c>
      <c r="C222" s="183" t="s">
        <v>573</v>
      </c>
      <c r="D222" s="183" t="s">
        <v>574</v>
      </c>
      <c r="E222" s="183" t="s">
        <v>575</v>
      </c>
      <c r="F222" s="182" t="s">
        <v>551</v>
      </c>
      <c r="G222" s="183" t="s">
        <v>576</v>
      </c>
      <c r="H222" s="183" t="s">
        <v>577</v>
      </c>
      <c r="I222" s="183" t="s">
        <v>578</v>
      </c>
    </row>
    <row r="223" spans="2:10" ht="13.5" thickBot="1">
      <c r="B223" s="182">
        <v>7</v>
      </c>
      <c r="C223" s="183" t="s">
        <v>579</v>
      </c>
      <c r="D223" s="183" t="s">
        <v>580</v>
      </c>
      <c r="E223" s="183" t="s">
        <v>581</v>
      </c>
      <c r="F223" s="182" t="s">
        <v>582</v>
      </c>
      <c r="G223" s="183" t="s">
        <v>481</v>
      </c>
      <c r="H223" s="183" t="s">
        <v>583</v>
      </c>
      <c r="I223" s="183" t="s">
        <v>584</v>
      </c>
    </row>
    <row r="224" spans="2:10" ht="13.5" thickBot="1">
      <c r="B224" s="182">
        <v>8</v>
      </c>
      <c r="C224" s="183" t="s">
        <v>585</v>
      </c>
      <c r="D224" s="183" t="s">
        <v>586</v>
      </c>
      <c r="E224" s="183" t="s">
        <v>587</v>
      </c>
      <c r="F224" s="182" t="s">
        <v>551</v>
      </c>
      <c r="G224" s="183" t="s">
        <v>588</v>
      </c>
      <c r="H224" s="183" t="s">
        <v>589</v>
      </c>
      <c r="I224" s="183" t="s">
        <v>590</v>
      </c>
    </row>
    <row r="225" spans="2:9" ht="13.5" thickBot="1">
      <c r="B225" s="182">
        <v>9</v>
      </c>
      <c r="C225" s="183" t="s">
        <v>591</v>
      </c>
      <c r="D225" s="183" t="s">
        <v>592</v>
      </c>
      <c r="E225" s="183" t="s">
        <v>593</v>
      </c>
      <c r="F225" s="182" t="s">
        <v>551</v>
      </c>
      <c r="G225" s="183" t="s">
        <v>594</v>
      </c>
      <c r="H225" s="183" t="s">
        <v>595</v>
      </c>
      <c r="I225" s="183" t="s">
        <v>596</v>
      </c>
    </row>
    <row r="226" spans="2:9" ht="13.5" thickBot="1">
      <c r="B226" s="182">
        <v>10</v>
      </c>
      <c r="C226" s="183" t="s">
        <v>597</v>
      </c>
      <c r="D226" s="183" t="s">
        <v>598</v>
      </c>
      <c r="E226" s="183" t="s">
        <v>599</v>
      </c>
      <c r="F226" s="182" t="s">
        <v>551</v>
      </c>
      <c r="G226" s="183" t="s">
        <v>594</v>
      </c>
      <c r="H226" s="183" t="s">
        <v>600</v>
      </c>
      <c r="I226" s="183" t="s">
        <v>601</v>
      </c>
    </row>
    <row r="228" spans="2:9" ht="13.5" thickBot="1">
      <c r="B228" s="178" t="s">
        <v>602</v>
      </c>
    </row>
    <row r="229" spans="2:9" ht="13.5" thickBot="1">
      <c r="B229" s="181" t="s">
        <v>533</v>
      </c>
      <c r="C229" s="181" t="s">
        <v>534</v>
      </c>
      <c r="D229" s="181" t="s">
        <v>535</v>
      </c>
      <c r="E229" s="181" t="s">
        <v>536</v>
      </c>
      <c r="F229" s="181" t="s">
        <v>537</v>
      </c>
      <c r="G229" s="181" t="s">
        <v>538</v>
      </c>
      <c r="H229" s="181" t="s">
        <v>539</v>
      </c>
      <c r="I229" s="181" t="s">
        <v>540</v>
      </c>
    </row>
    <row r="230" spans="2:9" ht="13.5" thickBot="1">
      <c r="B230" s="182">
        <v>1</v>
      </c>
      <c r="C230" s="183" t="s">
        <v>603</v>
      </c>
      <c r="D230" s="183" t="s">
        <v>604</v>
      </c>
      <c r="E230" s="183" t="s">
        <v>605</v>
      </c>
      <c r="F230" s="182" t="s">
        <v>544</v>
      </c>
      <c r="G230" s="183" t="s">
        <v>606</v>
      </c>
      <c r="H230" s="183" t="s">
        <v>600</v>
      </c>
      <c r="I230" s="183" t="s">
        <v>607</v>
      </c>
    </row>
    <row r="231" spans="2:9" ht="13.5" thickBot="1">
      <c r="B231" s="182">
        <v>2</v>
      </c>
      <c r="C231" s="183" t="s">
        <v>608</v>
      </c>
      <c r="D231" s="183" t="s">
        <v>609</v>
      </c>
      <c r="E231" s="183" t="s">
        <v>610</v>
      </c>
      <c r="F231" s="182" t="s">
        <v>551</v>
      </c>
      <c r="G231" s="183" t="s">
        <v>611</v>
      </c>
      <c r="H231" s="183" t="s">
        <v>612</v>
      </c>
      <c r="I231" s="183" t="s">
        <v>559</v>
      </c>
    </row>
    <row r="232" spans="2:9" ht="13.5" thickBot="1">
      <c r="B232" s="182">
        <v>3</v>
      </c>
      <c r="C232" s="183" t="s">
        <v>613</v>
      </c>
      <c r="D232" s="183" t="s">
        <v>614</v>
      </c>
      <c r="E232" s="183" t="s">
        <v>615</v>
      </c>
      <c r="F232" s="182" t="s">
        <v>551</v>
      </c>
      <c r="G232" s="183" t="s">
        <v>616</v>
      </c>
      <c r="H232" s="183" t="s">
        <v>617</v>
      </c>
      <c r="I232" s="183" t="s">
        <v>618</v>
      </c>
    </row>
    <row r="233" spans="2:9" ht="13.5" thickBot="1">
      <c r="B233" s="182">
        <v>4</v>
      </c>
      <c r="C233" s="183" t="s">
        <v>619</v>
      </c>
      <c r="D233" s="183" t="s">
        <v>620</v>
      </c>
      <c r="E233" s="183" t="s">
        <v>621</v>
      </c>
      <c r="F233" s="182" t="s">
        <v>551</v>
      </c>
      <c r="G233" s="183" t="s">
        <v>622</v>
      </c>
      <c r="H233" s="183" t="s">
        <v>623</v>
      </c>
      <c r="I233" s="183" t="s">
        <v>624</v>
      </c>
    </row>
    <row r="234" spans="2:9" ht="13.5" thickBot="1">
      <c r="B234" s="182">
        <v>5</v>
      </c>
      <c r="C234" s="183" t="s">
        <v>625</v>
      </c>
      <c r="D234" s="183" t="s">
        <v>626</v>
      </c>
      <c r="E234" s="183" t="s">
        <v>627</v>
      </c>
      <c r="F234" s="182" t="s">
        <v>551</v>
      </c>
      <c r="G234" s="183" t="s">
        <v>628</v>
      </c>
      <c r="H234" s="183" t="s">
        <v>583</v>
      </c>
      <c r="I234" s="183" t="s">
        <v>629</v>
      </c>
    </row>
    <row r="235" spans="2:9" ht="13.5" thickBot="1">
      <c r="B235" s="182">
        <v>6</v>
      </c>
      <c r="C235" s="183" t="s">
        <v>630</v>
      </c>
      <c r="D235" s="183" t="s">
        <v>631</v>
      </c>
      <c r="E235" s="183" t="s">
        <v>632</v>
      </c>
      <c r="F235" s="182" t="s">
        <v>551</v>
      </c>
      <c r="G235" s="183" t="s">
        <v>570</v>
      </c>
      <c r="H235" s="183" t="s">
        <v>571</v>
      </c>
      <c r="I235" s="183" t="s">
        <v>633</v>
      </c>
    </row>
    <row r="236" spans="2:9" ht="13.5" thickBot="1">
      <c r="B236" s="182">
        <v>7</v>
      </c>
      <c r="C236" s="183" t="s">
        <v>634</v>
      </c>
      <c r="D236" s="183" t="s">
        <v>635</v>
      </c>
      <c r="E236" s="183" t="s">
        <v>636</v>
      </c>
      <c r="F236" s="182" t="s">
        <v>551</v>
      </c>
      <c r="G236" s="183" t="s">
        <v>594</v>
      </c>
      <c r="H236" s="183" t="s">
        <v>600</v>
      </c>
      <c r="I236" s="183" t="s">
        <v>637</v>
      </c>
    </row>
    <row r="237" spans="2:9" ht="13.5" thickBot="1">
      <c r="B237" s="182">
        <v>8</v>
      </c>
      <c r="C237" s="183" t="s">
        <v>638</v>
      </c>
      <c r="D237" s="183" t="s">
        <v>639</v>
      </c>
      <c r="E237" s="183" t="s">
        <v>640</v>
      </c>
      <c r="F237" s="182" t="s">
        <v>551</v>
      </c>
      <c r="G237" s="183" t="s">
        <v>641</v>
      </c>
      <c r="H237" s="183" t="s">
        <v>600</v>
      </c>
      <c r="I237" s="183" t="s">
        <v>578</v>
      </c>
    </row>
    <row r="239" spans="2:9">
      <c r="B239" s="178" t="s">
        <v>642</v>
      </c>
    </row>
    <row r="240" spans="2:9" ht="13.5" thickBot="1"/>
    <row r="241" spans="2:9" ht="13.5" thickBot="1">
      <c r="B241" s="181" t="s">
        <v>533</v>
      </c>
      <c r="C241" s="181" t="s">
        <v>534</v>
      </c>
      <c r="D241" s="181" t="s">
        <v>535</v>
      </c>
      <c r="E241" s="181" t="s">
        <v>536</v>
      </c>
      <c r="F241" s="181" t="s">
        <v>537</v>
      </c>
      <c r="G241" s="181" t="s">
        <v>538</v>
      </c>
      <c r="H241" s="181" t="s">
        <v>539</v>
      </c>
      <c r="I241" s="181" t="s">
        <v>540</v>
      </c>
    </row>
    <row r="242" spans="2:9" ht="13.5" thickBot="1">
      <c r="B242" s="182">
        <v>1</v>
      </c>
      <c r="C242" s="183" t="s">
        <v>643</v>
      </c>
      <c r="D242" s="183" t="s">
        <v>644</v>
      </c>
      <c r="E242" s="183" t="s">
        <v>645</v>
      </c>
      <c r="F242" s="182" t="s">
        <v>646</v>
      </c>
      <c r="G242" s="183" t="s">
        <v>647</v>
      </c>
      <c r="H242" s="183" t="s">
        <v>648</v>
      </c>
      <c r="I242" s="183" t="s">
        <v>649</v>
      </c>
    </row>
    <row r="243" spans="2:9" ht="13.5" thickBot="1">
      <c r="B243" s="182">
        <v>2</v>
      </c>
      <c r="C243" s="183" t="s">
        <v>650</v>
      </c>
      <c r="D243" s="183" t="s">
        <v>651</v>
      </c>
      <c r="E243" s="183" t="s">
        <v>652</v>
      </c>
      <c r="F243" s="182" t="s">
        <v>551</v>
      </c>
      <c r="G243" s="183" t="s">
        <v>653</v>
      </c>
      <c r="H243" s="183" t="s">
        <v>654</v>
      </c>
      <c r="I243" s="183" t="s">
        <v>655</v>
      </c>
    </row>
    <row r="244" spans="2:9" ht="13.5" thickBot="1">
      <c r="B244" s="182">
        <v>3</v>
      </c>
      <c r="C244" s="183" t="s">
        <v>656</v>
      </c>
      <c r="D244" s="183" t="s">
        <v>657</v>
      </c>
      <c r="E244" s="183" t="s">
        <v>658</v>
      </c>
      <c r="F244" s="182" t="s">
        <v>551</v>
      </c>
      <c r="G244" s="183" t="s">
        <v>659</v>
      </c>
      <c r="H244" s="183" t="s">
        <v>660</v>
      </c>
      <c r="I244" s="183" t="s">
        <v>661</v>
      </c>
    </row>
    <row r="245" spans="2:9" ht="13.5" thickBot="1">
      <c r="B245" s="182">
        <v>4</v>
      </c>
      <c r="C245" s="183" t="s">
        <v>662</v>
      </c>
      <c r="D245" s="183" t="s">
        <v>663</v>
      </c>
      <c r="E245" s="183" t="s">
        <v>664</v>
      </c>
      <c r="F245" s="182" t="s">
        <v>665</v>
      </c>
      <c r="G245" s="183" t="s">
        <v>570</v>
      </c>
      <c r="H245" s="183" t="s">
        <v>571</v>
      </c>
      <c r="I245" s="183" t="s">
        <v>633</v>
      </c>
    </row>
    <row r="246" spans="2:9" ht="13.5" thickBot="1">
      <c r="B246" s="182">
        <v>5</v>
      </c>
      <c r="C246" s="183" t="s">
        <v>666</v>
      </c>
      <c r="D246" s="183" t="s">
        <v>667</v>
      </c>
      <c r="E246" s="183" t="s">
        <v>668</v>
      </c>
      <c r="F246" s="182" t="s">
        <v>551</v>
      </c>
      <c r="G246" s="183" t="s">
        <v>669</v>
      </c>
      <c r="H246" s="183" t="s">
        <v>670</v>
      </c>
      <c r="I246" s="183" t="s">
        <v>671</v>
      </c>
    </row>
    <row r="247" spans="2:9" ht="13.5" thickBot="1">
      <c r="B247" s="182">
        <v>6</v>
      </c>
      <c r="C247" s="183" t="s">
        <v>672</v>
      </c>
      <c r="D247" s="183" t="s">
        <v>673</v>
      </c>
      <c r="E247" s="183" t="s">
        <v>674</v>
      </c>
      <c r="F247" s="182" t="s">
        <v>551</v>
      </c>
      <c r="G247" s="183" t="s">
        <v>594</v>
      </c>
      <c r="H247" s="183" t="s">
        <v>600</v>
      </c>
      <c r="I247" s="183" t="s">
        <v>607</v>
      </c>
    </row>
    <row r="250" spans="2:9" ht="13.5" thickBot="1">
      <c r="B250" s="178" t="s">
        <v>675</v>
      </c>
    </row>
    <row r="251" spans="2:9" ht="13.5" thickBot="1">
      <c r="B251" s="181" t="s">
        <v>533</v>
      </c>
      <c r="C251" s="181" t="s">
        <v>534</v>
      </c>
      <c r="D251" s="181" t="s">
        <v>535</v>
      </c>
      <c r="E251" s="181" t="s">
        <v>536</v>
      </c>
      <c r="F251" s="181" t="s">
        <v>537</v>
      </c>
      <c r="G251" s="181" t="s">
        <v>538</v>
      </c>
      <c r="H251" s="181" t="s">
        <v>539</v>
      </c>
      <c r="I251" s="181" t="s">
        <v>540</v>
      </c>
    </row>
    <row r="252" spans="2:9" ht="13.5" thickBot="1">
      <c r="B252" s="182">
        <v>1</v>
      </c>
      <c r="C252" s="183" t="s">
        <v>676</v>
      </c>
      <c r="D252" s="183" t="s">
        <v>677</v>
      </c>
      <c r="E252" s="183" t="s">
        <v>678</v>
      </c>
      <c r="F252" s="182" t="s">
        <v>582</v>
      </c>
      <c r="G252" s="183" t="s">
        <v>679</v>
      </c>
      <c r="H252" s="183" t="s">
        <v>600</v>
      </c>
      <c r="I252" s="183" t="s">
        <v>607</v>
      </c>
    </row>
    <row r="253" spans="2:9" ht="13.5" thickBot="1">
      <c r="B253" s="182">
        <v>2</v>
      </c>
      <c r="C253" s="183" t="s">
        <v>680</v>
      </c>
      <c r="D253" s="183" t="s">
        <v>681</v>
      </c>
      <c r="E253" s="183" t="s">
        <v>682</v>
      </c>
      <c r="F253" s="182" t="s">
        <v>551</v>
      </c>
      <c r="G253" s="183" t="s">
        <v>683</v>
      </c>
      <c r="H253" s="183" t="s">
        <v>660</v>
      </c>
      <c r="I253" s="183" t="s">
        <v>618</v>
      </c>
    </row>
    <row r="254" spans="2:9" ht="13.5" thickBot="1">
      <c r="B254" s="182">
        <v>3</v>
      </c>
      <c r="C254" s="183" t="s">
        <v>684</v>
      </c>
      <c r="D254" s="183" t="s">
        <v>685</v>
      </c>
      <c r="E254" s="183" t="s">
        <v>686</v>
      </c>
      <c r="F254" s="182" t="s">
        <v>687</v>
      </c>
      <c r="G254" s="183" t="s">
        <v>570</v>
      </c>
      <c r="H254" s="183" t="s">
        <v>571</v>
      </c>
      <c r="I254" s="183" t="s">
        <v>688</v>
      </c>
    </row>
    <row r="255" spans="2:9" ht="13.5" thickBot="1">
      <c r="B255" s="182">
        <v>4</v>
      </c>
      <c r="C255" s="183" t="s">
        <v>689</v>
      </c>
      <c r="D255" s="183" t="s">
        <v>690</v>
      </c>
      <c r="E255" s="183" t="s">
        <v>691</v>
      </c>
      <c r="F255" s="182" t="s">
        <v>551</v>
      </c>
      <c r="G255" s="183" t="s">
        <v>594</v>
      </c>
      <c r="H255" s="183" t="s">
        <v>600</v>
      </c>
      <c r="I255" s="183" t="s">
        <v>692</v>
      </c>
    </row>
    <row r="256" spans="2:9" ht="13.5" thickBot="1">
      <c r="B256" s="182">
        <v>5</v>
      </c>
      <c r="C256" s="183" t="s">
        <v>693</v>
      </c>
      <c r="D256" s="183" t="s">
        <v>694</v>
      </c>
      <c r="E256" s="183" t="s">
        <v>695</v>
      </c>
      <c r="F256" s="182" t="s">
        <v>551</v>
      </c>
      <c r="G256" s="183" t="s">
        <v>679</v>
      </c>
      <c r="H256" s="183" t="s">
        <v>654</v>
      </c>
      <c r="I256" s="183" t="s">
        <v>696</v>
      </c>
    </row>
    <row r="257" spans="2:9" ht="13.5" thickBot="1">
      <c r="B257" s="182">
        <v>6</v>
      </c>
      <c r="C257" s="183" t="s">
        <v>697</v>
      </c>
      <c r="D257" s="183" t="s">
        <v>698</v>
      </c>
      <c r="E257" s="183" t="s">
        <v>699</v>
      </c>
      <c r="F257" s="182" t="s">
        <v>551</v>
      </c>
      <c r="G257" s="183" t="s">
        <v>700</v>
      </c>
      <c r="H257" s="183" t="s">
        <v>701</v>
      </c>
      <c r="I257" s="183" t="s">
        <v>702</v>
      </c>
    </row>
    <row r="258" spans="2:9" ht="13.5" thickBot="1">
      <c r="B258" s="182">
        <v>7</v>
      </c>
      <c r="C258" s="183" t="s">
        <v>703</v>
      </c>
      <c r="D258" s="183" t="s">
        <v>704</v>
      </c>
      <c r="E258" s="183" t="s">
        <v>705</v>
      </c>
      <c r="F258" s="182" t="s">
        <v>551</v>
      </c>
      <c r="G258" s="183" t="s">
        <v>706</v>
      </c>
      <c r="H258" s="183" t="s">
        <v>564</v>
      </c>
      <c r="I258" s="183" t="s">
        <v>661</v>
      </c>
    </row>
    <row r="260" spans="2:9" ht="13.5" thickBot="1">
      <c r="B260" s="178" t="s">
        <v>707</v>
      </c>
    </row>
    <row r="261" spans="2:9" ht="13.5" thickBot="1">
      <c r="B261" s="181" t="s">
        <v>533</v>
      </c>
      <c r="C261" s="181" t="s">
        <v>534</v>
      </c>
      <c r="D261" s="181" t="s">
        <v>535</v>
      </c>
      <c r="E261" s="181" t="s">
        <v>536</v>
      </c>
      <c r="F261" s="181" t="s">
        <v>537</v>
      </c>
      <c r="G261" s="181" t="s">
        <v>538</v>
      </c>
      <c r="H261" s="181" t="s">
        <v>539</v>
      </c>
      <c r="I261" s="181" t="s">
        <v>540</v>
      </c>
    </row>
    <row r="262" spans="2:9" ht="13.5" thickBot="1">
      <c r="B262" s="182">
        <v>1</v>
      </c>
      <c r="C262" s="183" t="s">
        <v>708</v>
      </c>
      <c r="D262" s="183" t="s">
        <v>709</v>
      </c>
      <c r="E262" s="183" t="s">
        <v>710</v>
      </c>
      <c r="F262" s="182" t="s">
        <v>551</v>
      </c>
      <c r="G262" s="183" t="s">
        <v>679</v>
      </c>
      <c r="H262" s="183" t="s">
        <v>595</v>
      </c>
      <c r="I262" s="183" t="s">
        <v>711</v>
      </c>
    </row>
    <row r="263" spans="2:9" ht="13.5" thickBot="1">
      <c r="B263" s="182">
        <v>2</v>
      </c>
      <c r="C263" s="183" t="s">
        <v>712</v>
      </c>
      <c r="D263" s="183" t="s">
        <v>713</v>
      </c>
      <c r="E263" s="183" t="s">
        <v>714</v>
      </c>
      <c r="F263" s="182" t="s">
        <v>551</v>
      </c>
      <c r="G263" s="183" t="s">
        <v>683</v>
      </c>
      <c r="H263" s="183" t="s">
        <v>660</v>
      </c>
      <c r="I263" s="183" t="s">
        <v>715</v>
      </c>
    </row>
    <row r="264" spans="2:9" ht="13.5" thickBot="1">
      <c r="B264" s="182">
        <v>3</v>
      </c>
      <c r="C264" s="183" t="s">
        <v>716</v>
      </c>
      <c r="D264" s="183" t="s">
        <v>717</v>
      </c>
      <c r="E264" s="183" t="s">
        <v>718</v>
      </c>
      <c r="F264" s="182" t="s">
        <v>687</v>
      </c>
      <c r="G264" s="183" t="s">
        <v>570</v>
      </c>
      <c r="H264" s="183" t="s">
        <v>571</v>
      </c>
      <c r="I264" s="183" t="s">
        <v>688</v>
      </c>
    </row>
    <row r="265" spans="2:9" ht="13.5" thickBot="1">
      <c r="B265" s="182">
        <v>4</v>
      </c>
      <c r="C265" s="183" t="s">
        <v>719</v>
      </c>
      <c r="D265" s="183" t="s">
        <v>720</v>
      </c>
      <c r="E265" s="183" t="s">
        <v>721</v>
      </c>
      <c r="F265" s="182" t="s">
        <v>551</v>
      </c>
      <c r="G265" s="183" t="s">
        <v>659</v>
      </c>
      <c r="H265" s="183" t="s">
        <v>600</v>
      </c>
      <c r="I265" s="183" t="s">
        <v>692</v>
      </c>
    </row>
    <row r="266" spans="2:9" ht="13.5" thickBot="1">
      <c r="B266" s="182">
        <v>5</v>
      </c>
      <c r="C266" s="183" t="s">
        <v>722</v>
      </c>
      <c r="D266" s="183" t="s">
        <v>723</v>
      </c>
      <c r="E266" s="183" t="s">
        <v>724</v>
      </c>
      <c r="F266" s="182" t="s">
        <v>551</v>
      </c>
      <c r="G266" s="183" t="s">
        <v>725</v>
      </c>
      <c r="H266" s="183" t="s">
        <v>660</v>
      </c>
      <c r="I266" s="183" t="s">
        <v>726</v>
      </c>
    </row>
    <row r="268" spans="2:9" ht="13.5" thickBot="1">
      <c r="B268" s="178" t="s">
        <v>727</v>
      </c>
    </row>
    <row r="269" spans="2:9" ht="13.5" thickBot="1">
      <c r="B269" s="181" t="s">
        <v>533</v>
      </c>
      <c r="C269" s="181" t="s">
        <v>534</v>
      </c>
      <c r="D269" s="181" t="s">
        <v>535</v>
      </c>
      <c r="E269" s="181" t="s">
        <v>536</v>
      </c>
      <c r="F269" s="181" t="s">
        <v>537</v>
      </c>
      <c r="G269" s="181" t="s">
        <v>538</v>
      </c>
      <c r="H269" s="181" t="s">
        <v>539</v>
      </c>
      <c r="I269" s="181" t="s">
        <v>540</v>
      </c>
    </row>
    <row r="270" spans="2:9" ht="13.5" thickBot="1">
      <c r="B270" s="182">
        <v>1</v>
      </c>
      <c r="C270" s="183" t="s">
        <v>728</v>
      </c>
      <c r="D270" s="183" t="s">
        <v>729</v>
      </c>
      <c r="E270" s="183" t="s">
        <v>730</v>
      </c>
      <c r="F270" s="182" t="s">
        <v>551</v>
      </c>
      <c r="G270" s="183" t="s">
        <v>731</v>
      </c>
      <c r="H270" s="183" t="s">
        <v>732</v>
      </c>
      <c r="I270" s="183" t="s">
        <v>733</v>
      </c>
    </row>
    <row r="271" spans="2:9" ht="13.5" thickBot="1">
      <c r="B271" s="182">
        <v>2</v>
      </c>
      <c r="C271" s="183" t="s">
        <v>734</v>
      </c>
      <c r="D271" s="183" t="s">
        <v>735</v>
      </c>
      <c r="E271" s="183" t="s">
        <v>736</v>
      </c>
      <c r="F271" s="182" t="s">
        <v>551</v>
      </c>
      <c r="G271" s="183" t="s">
        <v>737</v>
      </c>
      <c r="H271" s="183" t="s">
        <v>660</v>
      </c>
      <c r="I271" s="183" t="s">
        <v>711</v>
      </c>
    </row>
    <row r="272" spans="2:9" ht="13.5" thickBot="1">
      <c r="B272" s="182">
        <v>3</v>
      </c>
      <c r="C272" s="183" t="s">
        <v>738</v>
      </c>
      <c r="D272" s="183" t="s">
        <v>739</v>
      </c>
      <c r="E272" s="183" t="s">
        <v>740</v>
      </c>
      <c r="F272" s="182" t="s">
        <v>551</v>
      </c>
      <c r="G272" s="183" t="s">
        <v>741</v>
      </c>
      <c r="H272" s="183" t="s">
        <v>654</v>
      </c>
      <c r="I272" s="183" t="s">
        <v>618</v>
      </c>
    </row>
    <row r="273" spans="2:9" ht="13.5" thickBot="1">
      <c r="B273" s="182">
        <v>4</v>
      </c>
      <c r="C273" s="183" t="s">
        <v>742</v>
      </c>
      <c r="D273" s="183" t="s">
        <v>743</v>
      </c>
      <c r="E273" s="183" t="s">
        <v>744</v>
      </c>
      <c r="F273" s="182" t="s">
        <v>551</v>
      </c>
      <c r="G273" s="183" t="s">
        <v>570</v>
      </c>
      <c r="H273" s="183" t="s">
        <v>571</v>
      </c>
      <c r="I273" s="183" t="s">
        <v>688</v>
      </c>
    </row>
    <row r="274" spans="2:9" ht="13.5" thickBot="1">
      <c r="B274" s="182">
        <v>5</v>
      </c>
      <c r="C274" s="183" t="s">
        <v>745</v>
      </c>
      <c r="D274" s="183" t="s">
        <v>746</v>
      </c>
      <c r="E274" s="183" t="s">
        <v>747</v>
      </c>
      <c r="F274" s="182" t="s">
        <v>551</v>
      </c>
      <c r="G274" s="183" t="s">
        <v>659</v>
      </c>
      <c r="H274" s="183" t="s">
        <v>660</v>
      </c>
      <c r="I274" s="183" t="s">
        <v>624</v>
      </c>
    </row>
    <row r="276" spans="2:9" ht="13.5" thickBot="1">
      <c r="B276" s="178" t="s">
        <v>748</v>
      </c>
    </row>
    <row r="277" spans="2:9" ht="13.5" thickBot="1">
      <c r="B277" s="181" t="s">
        <v>533</v>
      </c>
      <c r="C277" s="181" t="s">
        <v>534</v>
      </c>
      <c r="D277" s="181" t="s">
        <v>535</v>
      </c>
      <c r="E277" s="181" t="s">
        <v>536</v>
      </c>
      <c r="F277" s="181" t="s">
        <v>537</v>
      </c>
      <c r="G277" s="181" t="s">
        <v>538</v>
      </c>
      <c r="H277" s="181" t="s">
        <v>539</v>
      </c>
      <c r="I277" s="181" t="s">
        <v>540</v>
      </c>
    </row>
    <row r="278" spans="2:9" ht="13.5" thickBot="1">
      <c r="B278" s="182">
        <v>1</v>
      </c>
      <c r="C278" s="183" t="s">
        <v>749</v>
      </c>
      <c r="D278" s="183" t="s">
        <v>750</v>
      </c>
      <c r="E278" s="183" t="s">
        <v>751</v>
      </c>
      <c r="F278" s="182" t="s">
        <v>551</v>
      </c>
      <c r="G278" s="183" t="s">
        <v>752</v>
      </c>
      <c r="H278" s="183" t="s">
        <v>660</v>
      </c>
      <c r="I278" s="183" t="s">
        <v>559</v>
      </c>
    </row>
    <row r="279" spans="2:9" ht="13.5" thickBot="1">
      <c r="B279" s="182">
        <v>2</v>
      </c>
      <c r="C279" s="183" t="s">
        <v>753</v>
      </c>
      <c r="D279" s="183" t="s">
        <v>754</v>
      </c>
      <c r="E279" s="183" t="s">
        <v>755</v>
      </c>
      <c r="F279" s="182" t="s">
        <v>551</v>
      </c>
      <c r="G279" s="183" t="s">
        <v>756</v>
      </c>
      <c r="H279" s="183" t="s">
        <v>623</v>
      </c>
      <c r="I279" s="183" t="s">
        <v>757</v>
      </c>
    </row>
    <row r="280" spans="2:9" ht="13.5" thickBot="1">
      <c r="B280" s="182">
        <v>3</v>
      </c>
      <c r="C280" s="183" t="s">
        <v>758</v>
      </c>
      <c r="D280" s="183" t="s">
        <v>759</v>
      </c>
      <c r="E280" s="183" t="s">
        <v>760</v>
      </c>
      <c r="F280" s="182" t="s">
        <v>551</v>
      </c>
      <c r="G280" s="183" t="s">
        <v>752</v>
      </c>
      <c r="H280" s="183" t="s">
        <v>660</v>
      </c>
      <c r="I280" s="183" t="s">
        <v>711</v>
      </c>
    </row>
    <row r="281" spans="2:9" ht="13.5" thickBot="1">
      <c r="B281" s="182">
        <v>4</v>
      </c>
      <c r="C281" s="183" t="s">
        <v>761</v>
      </c>
      <c r="D281" s="183" t="s">
        <v>762</v>
      </c>
      <c r="E281" s="183" t="s">
        <v>763</v>
      </c>
      <c r="F281" s="182" t="s">
        <v>551</v>
      </c>
      <c r="G281" s="183" t="s">
        <v>570</v>
      </c>
      <c r="H281" s="183" t="s">
        <v>571</v>
      </c>
      <c r="I281" s="183" t="s">
        <v>688</v>
      </c>
    </row>
    <row r="282" spans="2:9" ht="13.5" thickBot="1">
      <c r="B282" s="182">
        <v>5</v>
      </c>
      <c r="C282" s="183" t="s">
        <v>764</v>
      </c>
      <c r="D282" s="183" t="s">
        <v>765</v>
      </c>
      <c r="E282" s="183" t="s">
        <v>766</v>
      </c>
      <c r="F282" s="182" t="s">
        <v>551</v>
      </c>
      <c r="G282" s="183" t="s">
        <v>594</v>
      </c>
      <c r="H282" s="183" t="s">
        <v>600</v>
      </c>
      <c r="I282" s="183" t="s">
        <v>618</v>
      </c>
    </row>
    <row r="284" spans="2:9" ht="13.5" thickBot="1">
      <c r="B284" s="178" t="s">
        <v>767</v>
      </c>
    </row>
    <row r="285" spans="2:9" ht="13.5" thickBot="1">
      <c r="B285" s="181" t="s">
        <v>533</v>
      </c>
      <c r="C285" s="181" t="s">
        <v>534</v>
      </c>
      <c r="D285" s="181" t="s">
        <v>535</v>
      </c>
      <c r="E285" s="181" t="s">
        <v>536</v>
      </c>
      <c r="F285" s="181" t="s">
        <v>537</v>
      </c>
      <c r="G285" s="181" t="s">
        <v>538</v>
      </c>
      <c r="H285" s="181" t="s">
        <v>539</v>
      </c>
      <c r="I285" s="181" t="s">
        <v>540</v>
      </c>
    </row>
    <row r="286" spans="2:9" ht="13.5" thickBot="1">
      <c r="B286" s="182">
        <v>1</v>
      </c>
      <c r="C286" s="183" t="s">
        <v>768</v>
      </c>
      <c r="D286" s="183" t="s">
        <v>769</v>
      </c>
      <c r="E286" s="183" t="s">
        <v>770</v>
      </c>
      <c r="F286" s="182" t="s">
        <v>771</v>
      </c>
      <c r="G286" s="183" t="s">
        <v>772</v>
      </c>
      <c r="H286" s="183" t="s">
        <v>270</v>
      </c>
      <c r="I286" s="183" t="s">
        <v>773</v>
      </c>
    </row>
    <row r="287" spans="2:9" ht="13.5" thickBot="1">
      <c r="B287" s="182">
        <v>2</v>
      </c>
      <c r="C287" s="183" t="s">
        <v>774</v>
      </c>
      <c r="D287" s="183" t="s">
        <v>775</v>
      </c>
      <c r="E287" s="183" t="s">
        <v>776</v>
      </c>
      <c r="F287" s="182" t="s">
        <v>777</v>
      </c>
      <c r="G287" s="183" t="s">
        <v>778</v>
      </c>
      <c r="H287" s="183" t="s">
        <v>600</v>
      </c>
      <c r="I287" s="183" t="s">
        <v>779</v>
      </c>
    </row>
    <row r="288" spans="2:9" ht="13.5" thickBot="1">
      <c r="B288" s="182">
        <v>3</v>
      </c>
      <c r="C288" s="183" t="s">
        <v>780</v>
      </c>
      <c r="D288" s="183" t="s">
        <v>781</v>
      </c>
      <c r="E288" s="183" t="s">
        <v>782</v>
      </c>
      <c r="F288" s="182" t="s">
        <v>687</v>
      </c>
      <c r="G288" s="183" t="s">
        <v>783</v>
      </c>
      <c r="H288" s="183" t="s">
        <v>571</v>
      </c>
      <c r="I288" s="183" t="s">
        <v>688</v>
      </c>
    </row>
    <row r="289" spans="2:9" ht="13.5" thickBot="1">
      <c r="B289" s="182">
        <v>4</v>
      </c>
      <c r="C289" s="183" t="s">
        <v>784</v>
      </c>
      <c r="D289" s="183" t="s">
        <v>785</v>
      </c>
      <c r="E289" s="183" t="s">
        <v>786</v>
      </c>
      <c r="F289" s="182" t="s">
        <v>551</v>
      </c>
      <c r="G289" s="183" t="s">
        <v>787</v>
      </c>
      <c r="H289" s="183" t="s">
        <v>600</v>
      </c>
      <c r="I289" s="183" t="s">
        <v>692</v>
      </c>
    </row>
    <row r="290" spans="2:9" ht="13.5" thickBot="1">
      <c r="B290" s="182">
        <v>5</v>
      </c>
      <c r="C290" s="183" t="s">
        <v>788</v>
      </c>
      <c r="D290" s="183" t="s">
        <v>789</v>
      </c>
      <c r="E290" s="183" t="s">
        <v>790</v>
      </c>
      <c r="F290" s="182" t="s">
        <v>551</v>
      </c>
      <c r="G290" s="183" t="s">
        <v>778</v>
      </c>
      <c r="H290" s="183" t="s">
        <v>270</v>
      </c>
      <c r="I290" s="183" t="s">
        <v>791</v>
      </c>
    </row>
    <row r="291" spans="2:9" ht="13.5" thickBot="1">
      <c r="B291" s="182">
        <v>6</v>
      </c>
      <c r="C291" s="183" t="s">
        <v>792</v>
      </c>
      <c r="D291" s="183" t="s">
        <v>793</v>
      </c>
      <c r="E291" s="183" t="s">
        <v>794</v>
      </c>
      <c r="F291" s="182" t="s">
        <v>551</v>
      </c>
      <c r="G291" s="183" t="s">
        <v>795</v>
      </c>
      <c r="H291" s="183" t="s">
        <v>270</v>
      </c>
      <c r="I291" s="183" t="s">
        <v>796</v>
      </c>
    </row>
    <row r="292" spans="2:9" ht="13.5" thickBot="1">
      <c r="B292" s="182">
        <v>7</v>
      </c>
      <c r="C292" s="183" t="s">
        <v>797</v>
      </c>
      <c r="D292" s="183" t="s">
        <v>798</v>
      </c>
      <c r="E292" s="183" t="s">
        <v>799</v>
      </c>
      <c r="F292" s="182" t="s">
        <v>551</v>
      </c>
      <c r="G292" s="183" t="s">
        <v>800</v>
      </c>
      <c r="H292" s="183" t="s">
        <v>600</v>
      </c>
      <c r="I292" s="183" t="s">
        <v>801</v>
      </c>
    </row>
    <row r="293" spans="2:9" ht="13.5" thickBot="1">
      <c r="B293" s="182">
        <v>8</v>
      </c>
      <c r="C293" s="183" t="s">
        <v>802</v>
      </c>
      <c r="D293" s="183" t="s">
        <v>803</v>
      </c>
      <c r="E293" s="183" t="s">
        <v>804</v>
      </c>
      <c r="F293" s="182" t="s">
        <v>551</v>
      </c>
      <c r="G293" s="183" t="s">
        <v>805</v>
      </c>
      <c r="H293" s="183" t="s">
        <v>806</v>
      </c>
      <c r="I293" s="183" t="s">
        <v>807</v>
      </c>
    </row>
    <row r="294" spans="2:9" ht="13.5" thickBot="1">
      <c r="B294" s="182">
        <v>9</v>
      </c>
      <c r="C294" s="183" t="s">
        <v>808</v>
      </c>
      <c r="D294" s="183" t="s">
        <v>809</v>
      </c>
      <c r="E294" s="183" t="s">
        <v>810</v>
      </c>
      <c r="F294" s="182" t="s">
        <v>551</v>
      </c>
      <c r="G294" s="183" t="s">
        <v>811</v>
      </c>
      <c r="H294" s="183" t="s">
        <v>812</v>
      </c>
      <c r="I294" s="183" t="s">
        <v>813</v>
      </c>
    </row>
  </sheetData>
  <mergeCells count="26">
    <mergeCell ref="I204:I205"/>
    <mergeCell ref="J204:J205"/>
    <mergeCell ref="B204:B205"/>
    <mergeCell ref="C204:C205"/>
    <mergeCell ref="D204:D205"/>
    <mergeCell ref="F204:F205"/>
    <mergeCell ref="G204:G205"/>
    <mergeCell ref="H204:H205"/>
    <mergeCell ref="I186:I189"/>
    <mergeCell ref="J186:J189"/>
    <mergeCell ref="B190:B191"/>
    <mergeCell ref="C190:C191"/>
    <mergeCell ref="D190:D191"/>
    <mergeCell ref="F190:F191"/>
    <mergeCell ref="G190:G191"/>
    <mergeCell ref="H190:H191"/>
    <mergeCell ref="I190:I191"/>
    <mergeCell ref="J190:J191"/>
    <mergeCell ref="D69:H69"/>
    <mergeCell ref="D71:H71"/>
    <mergeCell ref="B186:B189"/>
    <mergeCell ref="C186:C189"/>
    <mergeCell ref="D186:D189"/>
    <mergeCell ref="F186:F189"/>
    <mergeCell ref="G186:G189"/>
    <mergeCell ref="H186:H189"/>
  </mergeCells>
  <pageMargins left="0.7" right="0.7" top="0.75" bottom="0.75" header="0.3" footer="0.3"/>
  <headerFooter>
    <oddFooter>&amp;L_x000D_&amp;1#&amp;"Aptos"&amp;10&amp;K000000 Confidential-Internal</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C8E14B-759B-4529-B294-008C130D79DB}">
  <dimension ref="A1:F22"/>
  <sheetViews>
    <sheetView topLeftCell="A11" workbookViewId="0">
      <selection activeCell="I11" sqref="I11:J11"/>
    </sheetView>
  </sheetViews>
  <sheetFormatPr defaultRowHeight="14.45"/>
  <cols>
    <col min="1" max="1" width="12.7109375" customWidth="1"/>
    <col min="2" max="2" width="13.5703125" customWidth="1"/>
    <col min="3" max="3" width="21.85546875" customWidth="1"/>
    <col min="4" max="4" width="36.42578125" customWidth="1"/>
    <col min="5" max="5" width="25.42578125" customWidth="1"/>
    <col min="6" max="6" width="36.42578125" customWidth="1"/>
  </cols>
  <sheetData>
    <row r="1" spans="1:6" ht="48" customHeight="1">
      <c r="A1" s="312" t="s">
        <v>814</v>
      </c>
      <c r="B1" s="312"/>
      <c r="C1" s="312"/>
      <c r="D1" s="312"/>
      <c r="E1" s="312"/>
      <c r="F1" s="312"/>
    </row>
    <row r="2" spans="1:6">
      <c r="A2" s="299" t="s">
        <v>815</v>
      </c>
      <c r="B2" s="299"/>
      <c r="C2" s="299"/>
      <c r="D2" s="299"/>
      <c r="E2" s="299"/>
      <c r="F2" s="299"/>
    </row>
    <row r="4" spans="1:6">
      <c r="A4" s="313" t="s">
        <v>816</v>
      </c>
      <c r="B4" s="313"/>
      <c r="C4" s="313"/>
      <c r="D4" s="313"/>
      <c r="E4" s="313"/>
      <c r="F4" s="313"/>
    </row>
    <row r="5" spans="1:6">
      <c r="A5" s="313"/>
      <c r="B5" s="313"/>
      <c r="C5" s="313"/>
      <c r="D5" s="313"/>
      <c r="E5" s="313"/>
      <c r="F5" s="313"/>
    </row>
    <row r="6" spans="1:6">
      <c r="A6" s="313"/>
      <c r="B6" s="313"/>
      <c r="C6" s="313"/>
      <c r="D6" s="313"/>
      <c r="E6" s="313"/>
      <c r="F6" s="313"/>
    </row>
    <row r="8" spans="1:6">
      <c r="A8" s="314" t="s">
        <v>817</v>
      </c>
      <c r="B8" s="314"/>
      <c r="C8" s="314"/>
      <c r="D8" s="314"/>
      <c r="E8" s="314"/>
      <c r="F8" s="314"/>
    </row>
    <row r="9" spans="1:6">
      <c r="A9" s="70" t="s">
        <v>818</v>
      </c>
      <c r="B9" s="70" t="s">
        <v>819</v>
      </c>
      <c r="C9" s="70" t="s">
        <v>820</v>
      </c>
      <c r="D9" s="70" t="s">
        <v>821</v>
      </c>
      <c r="E9" s="70" t="s">
        <v>822</v>
      </c>
      <c r="F9" s="70" t="s">
        <v>823</v>
      </c>
    </row>
    <row r="10" spans="1:6" ht="90.95">
      <c r="A10" s="75" t="s">
        <v>824</v>
      </c>
      <c r="B10" s="74" t="s">
        <v>825</v>
      </c>
      <c r="C10" s="71" t="s">
        <v>826</v>
      </c>
      <c r="D10" s="71" t="s">
        <v>827</v>
      </c>
      <c r="E10" s="71" t="s">
        <v>828</v>
      </c>
      <c r="F10" s="71" t="s">
        <v>829</v>
      </c>
    </row>
    <row r="11" spans="1:6" ht="78">
      <c r="A11" s="76" t="s">
        <v>830</v>
      </c>
      <c r="B11" s="74" t="s">
        <v>831</v>
      </c>
      <c r="C11" s="71" t="s">
        <v>832</v>
      </c>
      <c r="D11" s="71" t="s">
        <v>833</v>
      </c>
      <c r="E11" s="71" t="s">
        <v>834</v>
      </c>
      <c r="F11" s="71" t="s">
        <v>835</v>
      </c>
    </row>
    <row r="12" spans="1:6" ht="78">
      <c r="A12" s="77" t="s">
        <v>836</v>
      </c>
      <c r="B12" s="74" t="s">
        <v>837</v>
      </c>
      <c r="C12" s="71" t="s">
        <v>838</v>
      </c>
      <c r="D12" s="71" t="s">
        <v>839</v>
      </c>
      <c r="E12" s="71" t="s">
        <v>840</v>
      </c>
      <c r="F12" s="71" t="s">
        <v>841</v>
      </c>
    </row>
    <row r="13" spans="1:6" ht="78">
      <c r="A13" s="78" t="s">
        <v>842</v>
      </c>
      <c r="B13" s="74" t="s">
        <v>843</v>
      </c>
      <c r="C13" s="71" t="s">
        <v>844</v>
      </c>
      <c r="D13" s="71" t="s">
        <v>845</v>
      </c>
      <c r="E13" s="71" t="s">
        <v>846</v>
      </c>
      <c r="F13" s="71" t="s">
        <v>847</v>
      </c>
    </row>
    <row r="14" spans="1:6" ht="78">
      <c r="A14" s="79" t="s">
        <v>848</v>
      </c>
      <c r="B14" s="74" t="s">
        <v>849</v>
      </c>
      <c r="C14" s="71" t="s">
        <v>850</v>
      </c>
      <c r="D14" s="71" t="s">
        <v>851</v>
      </c>
      <c r="E14" s="71" t="s">
        <v>852</v>
      </c>
      <c r="F14" s="71" t="s">
        <v>853</v>
      </c>
    </row>
    <row r="15" spans="1:6" ht="78">
      <c r="A15" s="80" t="s">
        <v>854</v>
      </c>
      <c r="B15" s="74" t="s">
        <v>855</v>
      </c>
      <c r="C15" s="71" t="s">
        <v>856</v>
      </c>
      <c r="D15" s="71" t="s">
        <v>857</v>
      </c>
      <c r="E15" s="71" t="s">
        <v>858</v>
      </c>
      <c r="F15" s="71" t="s">
        <v>859</v>
      </c>
    </row>
    <row r="17" spans="1:6">
      <c r="A17" s="314" t="s">
        <v>860</v>
      </c>
      <c r="B17" s="314"/>
      <c r="C17" s="314"/>
      <c r="D17" s="314"/>
      <c r="E17" s="314"/>
      <c r="F17" s="314"/>
    </row>
    <row r="18" spans="1:6" ht="26.1">
      <c r="A18" s="81">
        <v>1</v>
      </c>
      <c r="B18" s="102" t="s">
        <v>861</v>
      </c>
      <c r="C18" s="311" t="s">
        <v>862</v>
      </c>
      <c r="D18" s="311"/>
      <c r="E18" s="311"/>
      <c r="F18" s="311"/>
    </row>
    <row r="19" spans="1:6" ht="26.1">
      <c r="A19" s="81">
        <v>2</v>
      </c>
      <c r="B19" s="102" t="s">
        <v>863</v>
      </c>
      <c r="C19" s="311" t="s">
        <v>864</v>
      </c>
      <c r="D19" s="311"/>
      <c r="E19" s="311"/>
      <c r="F19" s="311"/>
    </row>
    <row r="20" spans="1:6" ht="26.1">
      <c r="A20" s="81">
        <v>3</v>
      </c>
      <c r="B20" s="102" t="s">
        <v>865</v>
      </c>
      <c r="C20" s="311" t="s">
        <v>866</v>
      </c>
      <c r="D20" s="311"/>
      <c r="E20" s="311"/>
      <c r="F20" s="311"/>
    </row>
    <row r="21" spans="1:6" ht="26.1">
      <c r="A21" s="81">
        <v>4</v>
      </c>
      <c r="B21" s="102" t="s">
        <v>867</v>
      </c>
      <c r="C21" s="311" t="s">
        <v>868</v>
      </c>
      <c r="D21" s="311"/>
      <c r="E21" s="311"/>
      <c r="F21" s="311"/>
    </row>
    <row r="22" spans="1:6" ht="26.1">
      <c r="A22" s="81">
        <v>5</v>
      </c>
      <c r="B22" s="102" t="s">
        <v>869</v>
      </c>
      <c r="C22" s="311" t="s">
        <v>870</v>
      </c>
      <c r="D22" s="311"/>
      <c r="E22" s="311"/>
      <c r="F22" s="311"/>
    </row>
  </sheetData>
  <mergeCells count="10">
    <mergeCell ref="C19:F19"/>
    <mergeCell ref="C20:F20"/>
    <mergeCell ref="C21:F21"/>
    <mergeCell ref="C22:F22"/>
    <mergeCell ref="A1:F1"/>
    <mergeCell ref="A2:F2"/>
    <mergeCell ref="A4:F6"/>
    <mergeCell ref="A8:F8"/>
    <mergeCell ref="A17:F17"/>
    <mergeCell ref="C18:F18"/>
  </mergeCells>
  <pageMargins left="0.7" right="0.7" top="0.75" bottom="0.75" header="0.3" footer="0.3"/>
  <headerFooter>
    <oddFooter>&amp;L_x000D_&amp;1#&amp;"Aptos"&amp;10&amp;K000000 Confidential-Internal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2D8A3-05A0-45F6-B40E-A0D8767779ED}">
  <dimension ref="A1:F19"/>
  <sheetViews>
    <sheetView topLeftCell="A3" workbookViewId="0">
      <selection activeCell="I11" sqref="I11:J11"/>
    </sheetView>
  </sheetViews>
  <sheetFormatPr defaultRowHeight="14.45"/>
  <cols>
    <col min="1" max="1" width="11.85546875" customWidth="1"/>
    <col min="2" max="2" width="12.7109375" customWidth="1"/>
    <col min="3" max="3" width="24.5703125" customWidth="1"/>
    <col min="4" max="4" width="30" customWidth="1"/>
    <col min="5" max="5" width="24.5703125" customWidth="1"/>
    <col min="6" max="6" width="26.42578125" customWidth="1"/>
  </cols>
  <sheetData>
    <row r="1" spans="1:6" ht="26.1">
      <c r="A1" s="312" t="s">
        <v>871</v>
      </c>
      <c r="B1" s="312"/>
      <c r="C1" s="312"/>
      <c r="D1" s="312"/>
      <c r="E1" s="312"/>
      <c r="F1" s="312"/>
    </row>
    <row r="2" spans="1:6">
      <c r="A2" s="299" t="s">
        <v>872</v>
      </c>
      <c r="B2" s="299"/>
      <c r="C2" s="299"/>
      <c r="D2" s="299"/>
      <c r="E2" s="299"/>
      <c r="F2" s="299"/>
    </row>
    <row r="4" spans="1:6">
      <c r="A4" s="313" t="s">
        <v>873</v>
      </c>
      <c r="B4" s="313"/>
      <c r="C4" s="313"/>
      <c r="D4" s="313"/>
      <c r="E4" s="313"/>
      <c r="F4" s="313"/>
    </row>
    <row r="5" spans="1:6">
      <c r="A5" s="313"/>
      <c r="B5" s="313"/>
      <c r="C5" s="313"/>
      <c r="D5" s="313"/>
      <c r="E5" s="313"/>
      <c r="F5" s="313"/>
    </row>
    <row r="6" spans="1:6">
      <c r="A6" s="313"/>
      <c r="B6" s="313"/>
      <c r="C6" s="313"/>
      <c r="D6" s="313"/>
      <c r="E6" s="313"/>
      <c r="F6" s="313"/>
    </row>
    <row r="8" spans="1:6">
      <c r="A8" s="355" t="s">
        <v>874</v>
      </c>
      <c r="B8" s="355"/>
      <c r="C8" s="355"/>
      <c r="D8" s="355"/>
      <c r="E8" s="355"/>
      <c r="F8" s="355"/>
    </row>
    <row r="9" spans="1:6">
      <c r="A9" s="70" t="s">
        <v>818</v>
      </c>
      <c r="B9" s="70" t="s">
        <v>819</v>
      </c>
      <c r="C9" s="70" t="s">
        <v>875</v>
      </c>
      <c r="D9" s="70" t="s">
        <v>876</v>
      </c>
      <c r="E9" s="70" t="s">
        <v>877</v>
      </c>
      <c r="F9" s="70" t="s">
        <v>878</v>
      </c>
    </row>
    <row r="10" spans="1:6" ht="39">
      <c r="A10" s="73" t="s">
        <v>824</v>
      </c>
      <c r="B10" s="74" t="s">
        <v>879</v>
      </c>
      <c r="C10" s="71" t="s">
        <v>880</v>
      </c>
      <c r="D10" s="71" t="s">
        <v>881</v>
      </c>
      <c r="E10" s="71" t="s">
        <v>882</v>
      </c>
      <c r="F10" s="84" t="s">
        <v>883</v>
      </c>
    </row>
    <row r="11" spans="1:6" ht="51.95">
      <c r="A11" s="73" t="s">
        <v>830</v>
      </c>
      <c r="B11" s="74" t="s">
        <v>884</v>
      </c>
      <c r="C11" s="71" t="s">
        <v>885</v>
      </c>
      <c r="D11" s="71" t="s">
        <v>886</v>
      </c>
      <c r="E11" s="71" t="s">
        <v>887</v>
      </c>
      <c r="F11" s="84" t="s">
        <v>888</v>
      </c>
    </row>
    <row r="12" spans="1:6" ht="39">
      <c r="A12" s="73" t="s">
        <v>836</v>
      </c>
      <c r="B12" s="74" t="s">
        <v>889</v>
      </c>
      <c r="C12" s="71" t="s">
        <v>890</v>
      </c>
      <c r="D12" s="71" t="s">
        <v>891</v>
      </c>
      <c r="E12" s="71" t="s">
        <v>892</v>
      </c>
      <c r="F12" s="84" t="s">
        <v>893</v>
      </c>
    </row>
    <row r="13" spans="1:6" ht="39">
      <c r="A13" s="73" t="s">
        <v>842</v>
      </c>
      <c r="B13" s="74" t="s">
        <v>894</v>
      </c>
      <c r="C13" s="71" t="s">
        <v>895</v>
      </c>
      <c r="D13" s="71" t="s">
        <v>896</v>
      </c>
      <c r="E13" s="71" t="s">
        <v>897</v>
      </c>
      <c r="F13" s="84" t="s">
        <v>898</v>
      </c>
    </row>
    <row r="14" spans="1:6" ht="39">
      <c r="A14" s="73" t="s">
        <v>848</v>
      </c>
      <c r="B14" s="74" t="s">
        <v>899</v>
      </c>
      <c r="C14" s="71" t="s">
        <v>900</v>
      </c>
      <c r="D14" s="71" t="s">
        <v>901</v>
      </c>
      <c r="E14" s="71" t="s">
        <v>902</v>
      </c>
      <c r="F14" s="84" t="s">
        <v>903</v>
      </c>
    </row>
    <row r="15" spans="1:6" ht="39">
      <c r="A15" s="73" t="s">
        <v>854</v>
      </c>
      <c r="B15" s="74" t="s">
        <v>904</v>
      </c>
      <c r="C15" s="71" t="s">
        <v>905</v>
      </c>
      <c r="D15" s="71" t="s">
        <v>906</v>
      </c>
      <c r="E15" s="71" t="s">
        <v>907</v>
      </c>
      <c r="F15" s="84" t="s">
        <v>908</v>
      </c>
    </row>
    <row r="17" spans="1:6">
      <c r="A17" s="315" t="s">
        <v>909</v>
      </c>
      <c r="B17" s="315"/>
      <c r="C17" s="315"/>
      <c r="D17" s="315"/>
      <c r="E17" s="315"/>
      <c r="F17" s="315"/>
    </row>
    <row r="18" spans="1:6">
      <c r="A18" s="315"/>
      <c r="B18" s="315"/>
      <c r="C18" s="315"/>
      <c r="D18" s="315"/>
      <c r="E18" s="315"/>
      <c r="F18" s="315"/>
    </row>
    <row r="19" spans="1:6">
      <c r="A19" s="315"/>
      <c r="B19" s="315"/>
      <c r="C19" s="315"/>
      <c r="D19" s="315"/>
      <c r="E19" s="315"/>
      <c r="F19" s="315"/>
    </row>
  </sheetData>
  <mergeCells count="5">
    <mergeCell ref="A1:F1"/>
    <mergeCell ref="A2:F2"/>
    <mergeCell ref="A4:F6"/>
    <mergeCell ref="A8:F8"/>
    <mergeCell ref="A17:F19"/>
  </mergeCells>
  <pageMargins left="0.7" right="0.7" top="0.75" bottom="0.75" header="0.3" footer="0.3"/>
  <headerFooter>
    <oddFooter>&amp;L_x000D_&amp;1#&amp;"Aptos"&amp;10&amp;K000000 Confidential-Internal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C8088-7FEC-481C-8A8B-4687FF3FF368}">
  <dimension ref="A1:F20"/>
  <sheetViews>
    <sheetView workbookViewId="0">
      <selection activeCell="I11" sqref="I11:J11"/>
    </sheetView>
  </sheetViews>
  <sheetFormatPr defaultRowHeight="14.45"/>
  <cols>
    <col min="1" max="1" width="11.85546875" customWidth="1"/>
    <col min="2" max="2" width="12.7109375" customWidth="1"/>
    <col min="3" max="3" width="34.5703125" customWidth="1"/>
    <col min="4" max="4" width="19.140625" customWidth="1"/>
    <col min="5" max="5" width="27.28515625" customWidth="1"/>
    <col min="6" max="6" width="24.5703125" customWidth="1"/>
  </cols>
  <sheetData>
    <row r="1" spans="1:6" ht="26.1">
      <c r="A1" s="312" t="s">
        <v>910</v>
      </c>
      <c r="B1" s="312"/>
      <c r="C1" s="312"/>
      <c r="D1" s="312"/>
      <c r="E1" s="312"/>
      <c r="F1" s="312"/>
    </row>
    <row r="2" spans="1:6">
      <c r="A2" s="299" t="s">
        <v>911</v>
      </c>
      <c r="B2" s="299"/>
      <c r="C2" s="299"/>
      <c r="D2" s="299"/>
      <c r="E2" s="299"/>
      <c r="F2" s="299"/>
    </row>
    <row r="4" spans="1:6">
      <c r="A4" s="316" t="s">
        <v>912</v>
      </c>
      <c r="B4" s="316"/>
      <c r="C4" s="316"/>
      <c r="D4" s="316"/>
      <c r="E4" s="316"/>
      <c r="F4" s="316"/>
    </row>
    <row r="5" spans="1:6">
      <c r="A5" s="316"/>
      <c r="B5" s="316"/>
      <c r="C5" s="316"/>
      <c r="D5" s="316"/>
      <c r="E5" s="316"/>
      <c r="F5" s="316"/>
    </row>
    <row r="7" spans="1:6">
      <c r="A7" s="355" t="s">
        <v>913</v>
      </c>
      <c r="B7" s="355"/>
      <c r="C7" s="355"/>
      <c r="D7" s="355"/>
      <c r="E7" s="355"/>
      <c r="F7" s="355"/>
    </row>
    <row r="8" spans="1:6" ht="29.1">
      <c r="A8" s="70" t="s">
        <v>818</v>
      </c>
      <c r="B8" s="70" t="s">
        <v>819</v>
      </c>
      <c r="C8" s="70" t="s">
        <v>914</v>
      </c>
      <c r="D8" s="70" t="s">
        <v>915</v>
      </c>
      <c r="E8" s="70" t="s">
        <v>916</v>
      </c>
      <c r="F8" s="70" t="s">
        <v>917</v>
      </c>
    </row>
    <row r="9" spans="1:6" ht="39">
      <c r="A9" s="73" t="s">
        <v>824</v>
      </c>
      <c r="B9" s="74" t="s">
        <v>879</v>
      </c>
      <c r="C9" s="71" t="s">
        <v>918</v>
      </c>
      <c r="D9" s="71" t="s">
        <v>919</v>
      </c>
      <c r="E9" s="71" t="s">
        <v>920</v>
      </c>
      <c r="F9" s="71" t="s">
        <v>921</v>
      </c>
    </row>
    <row r="10" spans="1:6" ht="39">
      <c r="A10" s="73" t="s">
        <v>830</v>
      </c>
      <c r="B10" s="74" t="s">
        <v>884</v>
      </c>
      <c r="C10" s="71" t="s">
        <v>922</v>
      </c>
      <c r="D10" s="71" t="s">
        <v>923</v>
      </c>
      <c r="E10" s="71" t="s">
        <v>924</v>
      </c>
      <c r="F10" s="71" t="s">
        <v>925</v>
      </c>
    </row>
    <row r="11" spans="1:6" ht="51.95">
      <c r="A11" s="73" t="s">
        <v>836</v>
      </c>
      <c r="B11" s="74" t="s">
        <v>889</v>
      </c>
      <c r="C11" s="71" t="s">
        <v>926</v>
      </c>
      <c r="D11" s="71" t="s">
        <v>927</v>
      </c>
      <c r="E11" s="71" t="s">
        <v>928</v>
      </c>
      <c r="F11" s="71" t="s">
        <v>929</v>
      </c>
    </row>
    <row r="12" spans="1:6" ht="51.95">
      <c r="A12" s="73" t="s">
        <v>842</v>
      </c>
      <c r="B12" s="74" t="s">
        <v>894</v>
      </c>
      <c r="C12" s="71" t="s">
        <v>930</v>
      </c>
      <c r="D12" s="71" t="s">
        <v>931</v>
      </c>
      <c r="E12" s="71" t="s">
        <v>932</v>
      </c>
      <c r="F12" s="71" t="s">
        <v>933</v>
      </c>
    </row>
    <row r="13" spans="1:6" ht="51.95">
      <c r="A13" s="73" t="s">
        <v>848</v>
      </c>
      <c r="B13" s="74" t="s">
        <v>899</v>
      </c>
      <c r="C13" s="71" t="s">
        <v>934</v>
      </c>
      <c r="D13" s="71" t="s">
        <v>935</v>
      </c>
      <c r="E13" s="71" t="s">
        <v>936</v>
      </c>
      <c r="F13" s="71" t="s">
        <v>937</v>
      </c>
    </row>
    <row r="14" spans="1:6" ht="51.95">
      <c r="A14" s="73" t="s">
        <v>854</v>
      </c>
      <c r="B14" s="74" t="s">
        <v>904</v>
      </c>
      <c r="C14" s="71" t="s">
        <v>938</v>
      </c>
      <c r="D14" s="71" t="s">
        <v>939</v>
      </c>
      <c r="E14" s="71" t="s">
        <v>940</v>
      </c>
      <c r="F14" s="71" t="s">
        <v>941</v>
      </c>
    </row>
    <row r="16" spans="1:6">
      <c r="A16" s="355" t="s">
        <v>942</v>
      </c>
      <c r="B16" s="355"/>
      <c r="C16" s="355"/>
      <c r="D16" s="355"/>
      <c r="E16" s="355"/>
      <c r="F16" s="355"/>
    </row>
    <row r="17" spans="1:6">
      <c r="A17" s="315" t="s">
        <v>943</v>
      </c>
      <c r="B17" s="315"/>
      <c r="C17" s="315"/>
      <c r="D17" s="315"/>
      <c r="E17" s="315"/>
      <c r="F17" s="315"/>
    </row>
    <row r="18" spans="1:6">
      <c r="A18" s="315"/>
      <c r="B18" s="315"/>
      <c r="C18" s="315"/>
      <c r="D18" s="315"/>
      <c r="E18" s="315"/>
      <c r="F18" s="315"/>
    </row>
    <row r="19" spans="1:6">
      <c r="A19" s="315"/>
      <c r="B19" s="315"/>
      <c r="C19" s="315"/>
      <c r="D19" s="315"/>
      <c r="E19" s="315"/>
      <c r="F19" s="315"/>
    </row>
    <row r="20" spans="1:6">
      <c r="A20" s="315"/>
      <c r="B20" s="315"/>
      <c r="C20" s="315"/>
      <c r="D20" s="315"/>
      <c r="E20" s="315"/>
      <c r="F20" s="315"/>
    </row>
  </sheetData>
  <mergeCells count="6">
    <mergeCell ref="A17:F20"/>
    <mergeCell ref="A1:F1"/>
    <mergeCell ref="A2:F2"/>
    <mergeCell ref="A4:F5"/>
    <mergeCell ref="A7:F7"/>
    <mergeCell ref="A16:F16"/>
  </mergeCells>
  <pageMargins left="0.7" right="0.7" top="0.75" bottom="0.75" header="0.3" footer="0.3"/>
  <headerFooter>
    <oddFooter>&amp;L_x000D_&amp;1#&amp;"Aptos"&amp;10&amp;K000000 Confidential-Internal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545AD-0CBA-4D2C-A983-575FC51F15D5}">
  <dimension ref="A1:G24"/>
  <sheetViews>
    <sheetView topLeftCell="C6" workbookViewId="0">
      <selection activeCell="I11" sqref="I11:J11"/>
    </sheetView>
  </sheetViews>
  <sheetFormatPr defaultRowHeight="14.45"/>
  <cols>
    <col min="1" max="1" width="11.85546875" customWidth="1"/>
    <col min="2" max="2" width="27.28515625" customWidth="1"/>
    <col min="3" max="3" width="30.85546875" customWidth="1"/>
    <col min="4" max="4" width="26.42578125" customWidth="1"/>
    <col min="5" max="5" width="28.140625" customWidth="1"/>
    <col min="6" max="6" width="26.42578125" customWidth="1"/>
    <col min="7" max="7" width="19.140625" customWidth="1"/>
  </cols>
  <sheetData>
    <row r="1" spans="1:7" ht="48" customHeight="1">
      <c r="A1" s="312" t="s">
        <v>944</v>
      </c>
      <c r="B1" s="312"/>
      <c r="C1" s="312"/>
      <c r="D1" s="312"/>
      <c r="E1" s="312"/>
      <c r="F1" s="312"/>
      <c r="G1" s="312"/>
    </row>
    <row r="2" spans="1:7">
      <c r="A2" s="299" t="s">
        <v>945</v>
      </c>
      <c r="B2" s="299"/>
      <c r="C2" s="299"/>
      <c r="D2" s="299"/>
      <c r="E2" s="299"/>
      <c r="F2" s="299"/>
      <c r="G2" s="299"/>
    </row>
    <row r="4" spans="1:7">
      <c r="A4" s="313" t="s">
        <v>946</v>
      </c>
      <c r="B4" s="313"/>
      <c r="C4" s="313"/>
      <c r="D4" s="313"/>
      <c r="E4" s="313"/>
      <c r="F4" s="313"/>
      <c r="G4" s="313"/>
    </row>
    <row r="5" spans="1:7">
      <c r="A5" s="313"/>
      <c r="B5" s="313"/>
      <c r="C5" s="313"/>
      <c r="D5" s="313"/>
      <c r="E5" s="313"/>
      <c r="F5" s="313"/>
      <c r="G5" s="313"/>
    </row>
    <row r="7" spans="1:7">
      <c r="A7" s="355" t="s">
        <v>947</v>
      </c>
      <c r="B7" s="355"/>
      <c r="C7" s="355"/>
      <c r="D7" s="355"/>
      <c r="E7" s="355"/>
      <c r="F7" s="355"/>
      <c r="G7" s="355"/>
    </row>
    <row r="8" spans="1:7" ht="29.1">
      <c r="A8" s="70" t="s">
        <v>818</v>
      </c>
      <c r="B8" s="70" t="s">
        <v>948</v>
      </c>
      <c r="C8" s="70" t="s">
        <v>949</v>
      </c>
      <c r="D8" s="70" t="s">
        <v>950</v>
      </c>
      <c r="E8" s="70" t="s">
        <v>823</v>
      </c>
      <c r="F8" s="70" t="s">
        <v>951</v>
      </c>
      <c r="G8" s="70" t="s">
        <v>952</v>
      </c>
    </row>
    <row r="9" spans="1:7" ht="60">
      <c r="A9" s="87" t="s">
        <v>824</v>
      </c>
      <c r="B9" s="85" t="s">
        <v>953</v>
      </c>
      <c r="C9" s="85" t="s">
        <v>954</v>
      </c>
      <c r="D9" s="85" t="s">
        <v>955</v>
      </c>
      <c r="E9" s="85" t="s">
        <v>956</v>
      </c>
      <c r="F9" s="85" t="s">
        <v>957</v>
      </c>
      <c r="G9" s="85" t="s">
        <v>958</v>
      </c>
    </row>
    <row r="10" spans="1:7" ht="60">
      <c r="A10" s="87" t="s">
        <v>830</v>
      </c>
      <c r="B10" s="85" t="s">
        <v>959</v>
      </c>
      <c r="C10" s="85" t="s">
        <v>960</v>
      </c>
      <c r="D10" s="85" t="s">
        <v>961</v>
      </c>
      <c r="E10" s="85" t="s">
        <v>962</v>
      </c>
      <c r="F10" s="85" t="s">
        <v>963</v>
      </c>
      <c r="G10" s="85" t="s">
        <v>964</v>
      </c>
    </row>
    <row r="11" spans="1:7" ht="72">
      <c r="A11" s="87" t="s">
        <v>836</v>
      </c>
      <c r="B11" s="85" t="s">
        <v>965</v>
      </c>
      <c r="C11" s="85" t="s">
        <v>966</v>
      </c>
      <c r="D11" s="85" t="s">
        <v>967</v>
      </c>
      <c r="E11" s="85" t="s">
        <v>968</v>
      </c>
      <c r="F11" s="85" t="s">
        <v>969</v>
      </c>
      <c r="G11" s="85" t="s">
        <v>970</v>
      </c>
    </row>
    <row r="12" spans="1:7" ht="60">
      <c r="A12" s="87" t="s">
        <v>842</v>
      </c>
      <c r="B12" s="85" t="s">
        <v>971</v>
      </c>
      <c r="C12" s="85" t="s">
        <v>972</v>
      </c>
      <c r="D12" s="85" t="s">
        <v>973</v>
      </c>
      <c r="E12" s="85" t="s">
        <v>974</v>
      </c>
      <c r="F12" s="85" t="s">
        <v>975</v>
      </c>
      <c r="G12" s="85" t="s">
        <v>976</v>
      </c>
    </row>
    <row r="13" spans="1:7" ht="72">
      <c r="A13" s="87" t="s">
        <v>848</v>
      </c>
      <c r="B13" s="85" t="s">
        <v>977</v>
      </c>
      <c r="C13" s="85" t="s">
        <v>978</v>
      </c>
      <c r="D13" s="85" t="s">
        <v>979</v>
      </c>
      <c r="E13" s="85" t="s">
        <v>980</v>
      </c>
      <c r="F13" s="85" t="s">
        <v>981</v>
      </c>
      <c r="G13" s="85" t="s">
        <v>982</v>
      </c>
    </row>
    <row r="14" spans="1:7" ht="72">
      <c r="A14" s="87" t="s">
        <v>854</v>
      </c>
      <c r="B14" s="85" t="s">
        <v>983</v>
      </c>
      <c r="C14" s="85" t="s">
        <v>984</v>
      </c>
      <c r="D14" s="85" t="s">
        <v>985</v>
      </c>
      <c r="E14" s="85" t="s">
        <v>986</v>
      </c>
      <c r="F14" s="85" t="s">
        <v>987</v>
      </c>
      <c r="G14" s="85" t="s">
        <v>988</v>
      </c>
    </row>
    <row r="16" spans="1:7">
      <c r="A16" s="355" t="s">
        <v>989</v>
      </c>
      <c r="B16" s="355"/>
      <c r="C16" s="355"/>
      <c r="D16" s="355"/>
      <c r="E16" s="355"/>
      <c r="F16" s="355"/>
      <c r="G16" s="355"/>
    </row>
    <row r="17" spans="1:7">
      <c r="A17" s="70" t="s">
        <v>990</v>
      </c>
      <c r="B17" s="70" t="s">
        <v>991</v>
      </c>
      <c r="C17" s="70" t="s">
        <v>992</v>
      </c>
      <c r="D17" s="70" t="s">
        <v>993</v>
      </c>
      <c r="E17" s="70" t="s">
        <v>994</v>
      </c>
      <c r="F17" s="70" t="s">
        <v>995</v>
      </c>
      <c r="G17" s="70" t="s">
        <v>996</v>
      </c>
    </row>
    <row r="18" spans="1:7" ht="36">
      <c r="A18" s="88" t="s">
        <v>997</v>
      </c>
      <c r="B18" s="85" t="s">
        <v>998</v>
      </c>
      <c r="C18" s="85" t="s">
        <v>999</v>
      </c>
      <c r="D18" s="85" t="s">
        <v>1000</v>
      </c>
      <c r="E18" s="85" t="s">
        <v>1001</v>
      </c>
      <c r="F18" s="85" t="s">
        <v>1002</v>
      </c>
      <c r="G18" s="85" t="s">
        <v>1003</v>
      </c>
    </row>
    <row r="19" spans="1:7" ht="36">
      <c r="A19" s="88" t="s">
        <v>1004</v>
      </c>
      <c r="B19" s="85" t="s">
        <v>1005</v>
      </c>
      <c r="C19" s="85" t="s">
        <v>999</v>
      </c>
      <c r="D19" s="85" t="s">
        <v>1006</v>
      </c>
      <c r="E19" s="85" t="s">
        <v>1007</v>
      </c>
      <c r="F19" s="85" t="s">
        <v>1008</v>
      </c>
      <c r="G19" s="85" t="s">
        <v>1009</v>
      </c>
    </row>
    <row r="20" spans="1:7" ht="24">
      <c r="A20" s="88" t="s">
        <v>1010</v>
      </c>
      <c r="B20" s="85" t="s">
        <v>1011</v>
      </c>
      <c r="C20" s="85" t="s">
        <v>1012</v>
      </c>
      <c r="D20" s="85" t="s">
        <v>1013</v>
      </c>
      <c r="E20" s="85" t="s">
        <v>848</v>
      </c>
      <c r="F20" s="85" t="s">
        <v>1014</v>
      </c>
      <c r="G20" s="85" t="s">
        <v>1015</v>
      </c>
    </row>
    <row r="21" spans="1:7" ht="36">
      <c r="A21" s="88" t="s">
        <v>1016</v>
      </c>
      <c r="B21" s="85" t="s">
        <v>1017</v>
      </c>
      <c r="C21" s="85" t="s">
        <v>1013</v>
      </c>
      <c r="D21" s="85" t="s">
        <v>1018</v>
      </c>
      <c r="E21" s="85" t="s">
        <v>854</v>
      </c>
      <c r="F21" s="85" t="s">
        <v>1019</v>
      </c>
      <c r="G21" s="85" t="s">
        <v>1020</v>
      </c>
    </row>
    <row r="23" spans="1:7">
      <c r="A23" s="317" t="s">
        <v>1021</v>
      </c>
      <c r="B23" s="317"/>
      <c r="C23" s="317"/>
      <c r="D23" s="317"/>
      <c r="E23" s="317"/>
      <c r="F23" s="317"/>
      <c r="G23" s="317"/>
    </row>
    <row r="24" spans="1:7">
      <c r="A24" s="317"/>
      <c r="B24" s="317"/>
      <c r="C24" s="317"/>
      <c r="D24" s="317"/>
      <c r="E24" s="317"/>
      <c r="F24" s="317"/>
      <c r="G24" s="317"/>
    </row>
  </sheetData>
  <mergeCells count="6">
    <mergeCell ref="A23:G24"/>
    <mergeCell ref="A1:G1"/>
    <mergeCell ref="A2:G2"/>
    <mergeCell ref="A4:G5"/>
    <mergeCell ref="A7:G7"/>
    <mergeCell ref="A16:G16"/>
  </mergeCells>
  <pageMargins left="0.7" right="0.7" top="0.75" bottom="0.75" header="0.3" footer="0.3"/>
  <headerFooter>
    <oddFooter>&amp;L_x000D_&amp;1#&amp;"Aptos"&amp;10&amp;K000000 Confidential-Internal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D8B85-1AE1-4B82-9F2B-B21509C380FD}">
  <dimension ref="A1:G30"/>
  <sheetViews>
    <sheetView topLeftCell="A26" workbookViewId="0">
      <selection activeCell="I11" sqref="I11:J11"/>
    </sheetView>
  </sheetViews>
  <sheetFormatPr defaultRowHeight="14.45"/>
  <cols>
    <col min="1" max="1" width="33.5703125" customWidth="1"/>
    <col min="2" max="7" width="18.140625" customWidth="1"/>
  </cols>
  <sheetData>
    <row r="1" spans="1:7" ht="26.1">
      <c r="A1" s="312" t="s">
        <v>1022</v>
      </c>
      <c r="B1" s="312"/>
      <c r="C1" s="312"/>
      <c r="D1" s="312"/>
      <c r="E1" s="312"/>
      <c r="F1" s="312"/>
      <c r="G1" s="312"/>
    </row>
    <row r="2" spans="1:7">
      <c r="A2" s="299" t="s">
        <v>1023</v>
      </c>
      <c r="B2" s="299"/>
      <c r="C2" s="299"/>
      <c r="D2" s="299"/>
      <c r="E2" s="299"/>
      <c r="F2" s="299"/>
      <c r="G2" s="299"/>
    </row>
    <row r="4" spans="1:7">
      <c r="A4" s="313" t="s">
        <v>1024</v>
      </c>
      <c r="B4" s="313"/>
      <c r="C4" s="313"/>
      <c r="D4" s="313"/>
      <c r="E4" s="313"/>
      <c r="F4" s="313"/>
      <c r="G4" s="313"/>
    </row>
    <row r="5" spans="1:7">
      <c r="A5" s="313"/>
      <c r="B5" s="313"/>
      <c r="C5" s="313"/>
      <c r="D5" s="313"/>
      <c r="E5" s="313"/>
      <c r="F5" s="313"/>
      <c r="G5" s="313"/>
    </row>
    <row r="7" spans="1:7">
      <c r="A7" s="355" t="s">
        <v>1025</v>
      </c>
      <c r="B7" s="355"/>
      <c r="C7" s="355"/>
      <c r="D7" s="355"/>
      <c r="E7" s="355"/>
      <c r="F7" s="355"/>
      <c r="G7" s="355"/>
    </row>
    <row r="8" spans="1:7" ht="29.1">
      <c r="A8" s="70" t="s">
        <v>1026</v>
      </c>
      <c r="B8" s="70" t="s">
        <v>1027</v>
      </c>
      <c r="C8" s="70" t="s">
        <v>1028</v>
      </c>
      <c r="D8" s="70" t="s">
        <v>1029</v>
      </c>
      <c r="E8" s="70" t="s">
        <v>1030</v>
      </c>
      <c r="F8" s="70" t="s">
        <v>1031</v>
      </c>
      <c r="G8" s="70" t="s">
        <v>1032</v>
      </c>
    </row>
    <row r="9" spans="1:7">
      <c r="A9" s="87" t="s">
        <v>1033</v>
      </c>
      <c r="B9" s="86">
        <v>1</v>
      </c>
      <c r="C9" s="85" t="s">
        <v>1034</v>
      </c>
      <c r="D9" s="85" t="s">
        <v>1035</v>
      </c>
      <c r="E9" s="85" t="s">
        <v>1036</v>
      </c>
      <c r="F9" s="85" t="s">
        <v>1037</v>
      </c>
      <c r="G9" s="85" t="s">
        <v>1038</v>
      </c>
    </row>
    <row r="10" spans="1:7" ht="24">
      <c r="A10" s="87" t="s">
        <v>1039</v>
      </c>
      <c r="B10" s="85" t="s">
        <v>1040</v>
      </c>
      <c r="C10" s="85" t="s">
        <v>1041</v>
      </c>
      <c r="D10" s="85" t="s">
        <v>1042</v>
      </c>
      <c r="E10" s="85" t="s">
        <v>1043</v>
      </c>
      <c r="F10" s="85" t="s">
        <v>1044</v>
      </c>
      <c r="G10" s="85" t="s">
        <v>1045</v>
      </c>
    </row>
    <row r="11" spans="1:7">
      <c r="A11" s="87" t="s">
        <v>1046</v>
      </c>
      <c r="B11" s="85" t="s">
        <v>518</v>
      </c>
      <c r="C11" s="85" t="s">
        <v>1047</v>
      </c>
      <c r="D11" s="85" t="s">
        <v>1034</v>
      </c>
      <c r="E11" s="85" t="s">
        <v>1048</v>
      </c>
      <c r="F11" s="85" t="s">
        <v>1049</v>
      </c>
      <c r="G11" s="85" t="s">
        <v>1050</v>
      </c>
    </row>
    <row r="12" spans="1:7">
      <c r="A12" s="87" t="s">
        <v>1051</v>
      </c>
      <c r="B12" s="85" t="s">
        <v>518</v>
      </c>
      <c r="C12" s="85" t="s">
        <v>1052</v>
      </c>
      <c r="D12" s="85" t="s">
        <v>1053</v>
      </c>
      <c r="E12" s="85" t="s">
        <v>1054</v>
      </c>
      <c r="F12" s="85" t="s">
        <v>1055</v>
      </c>
      <c r="G12" s="85" t="s">
        <v>1056</v>
      </c>
    </row>
    <row r="13" spans="1:7">
      <c r="A13" s="87" t="s">
        <v>1057</v>
      </c>
      <c r="B13" s="85" t="s">
        <v>1058</v>
      </c>
      <c r="C13" s="85" t="s">
        <v>1059</v>
      </c>
      <c r="D13" s="85" t="s">
        <v>1060</v>
      </c>
      <c r="E13" s="85" t="s">
        <v>1061</v>
      </c>
      <c r="F13" s="85" t="s">
        <v>1062</v>
      </c>
      <c r="G13" s="85" t="s">
        <v>1063</v>
      </c>
    </row>
    <row r="14" spans="1:7">
      <c r="A14" s="87" t="s">
        <v>1064</v>
      </c>
      <c r="B14" s="85" t="s">
        <v>1065</v>
      </c>
      <c r="C14" s="85" t="s">
        <v>1066</v>
      </c>
      <c r="D14" s="85" t="s">
        <v>1067</v>
      </c>
      <c r="E14" s="85" t="s">
        <v>1068</v>
      </c>
      <c r="F14" s="85" t="s">
        <v>1069</v>
      </c>
      <c r="G14" s="85" t="s">
        <v>1070</v>
      </c>
    </row>
    <row r="15" spans="1:7" ht="24">
      <c r="A15" s="87" t="s">
        <v>1071</v>
      </c>
      <c r="B15" s="85" t="s">
        <v>1072</v>
      </c>
      <c r="C15" s="85" t="s">
        <v>1073</v>
      </c>
      <c r="D15" s="85" t="s">
        <v>1074</v>
      </c>
      <c r="E15" s="85" t="s">
        <v>1075</v>
      </c>
      <c r="F15" s="85" t="s">
        <v>1060</v>
      </c>
      <c r="G15" s="85" t="s">
        <v>1076</v>
      </c>
    </row>
    <row r="16" spans="1:7" ht="24">
      <c r="A16" s="87" t="s">
        <v>1077</v>
      </c>
      <c r="B16" s="85" t="s">
        <v>1078</v>
      </c>
      <c r="C16" s="85" t="s">
        <v>1079</v>
      </c>
      <c r="D16" s="85" t="s">
        <v>1080</v>
      </c>
      <c r="E16" s="85" t="s">
        <v>1081</v>
      </c>
      <c r="F16" s="85" t="s">
        <v>1082</v>
      </c>
      <c r="G16" s="85" t="s">
        <v>1083</v>
      </c>
    </row>
    <row r="17" spans="1:7" ht="24">
      <c r="A17" s="87" t="s">
        <v>1084</v>
      </c>
      <c r="B17" s="85" t="s">
        <v>1085</v>
      </c>
      <c r="C17" s="85" t="s">
        <v>1086</v>
      </c>
      <c r="D17" s="85" t="s">
        <v>1087</v>
      </c>
      <c r="E17" s="85" t="s">
        <v>1088</v>
      </c>
      <c r="F17" s="85" t="s">
        <v>1089</v>
      </c>
      <c r="G17" s="85" t="s">
        <v>1090</v>
      </c>
    </row>
    <row r="18" spans="1:7" ht="24">
      <c r="A18" s="87" t="s">
        <v>1091</v>
      </c>
      <c r="B18" s="85" t="s">
        <v>1092</v>
      </c>
      <c r="C18" s="85" t="s">
        <v>1093</v>
      </c>
      <c r="D18" s="85" t="s">
        <v>1094</v>
      </c>
      <c r="E18" s="85" t="s">
        <v>1095</v>
      </c>
      <c r="F18" s="85" t="s">
        <v>1096</v>
      </c>
      <c r="G18" s="85" t="s">
        <v>1097</v>
      </c>
    </row>
    <row r="20" spans="1:7">
      <c r="A20" s="355" t="s">
        <v>1098</v>
      </c>
      <c r="B20" s="355"/>
      <c r="C20" s="355"/>
      <c r="D20" s="355"/>
      <c r="E20" s="355"/>
      <c r="F20" s="355"/>
      <c r="G20" s="355"/>
    </row>
    <row r="21" spans="1:7" ht="29.1">
      <c r="A21" s="70" t="s">
        <v>1026</v>
      </c>
      <c r="B21" s="70" t="s">
        <v>1027</v>
      </c>
      <c r="C21" s="70" t="s">
        <v>1028</v>
      </c>
      <c r="D21" s="70" t="s">
        <v>1029</v>
      </c>
      <c r="E21" s="70" t="s">
        <v>1030</v>
      </c>
      <c r="F21" s="70" t="s">
        <v>1031</v>
      </c>
      <c r="G21" s="70" t="s">
        <v>1032</v>
      </c>
    </row>
    <row r="22" spans="1:7" ht="36">
      <c r="A22" s="88" t="s">
        <v>1099</v>
      </c>
      <c r="B22" s="85" t="s">
        <v>1100</v>
      </c>
      <c r="C22" s="85" t="s">
        <v>1101</v>
      </c>
      <c r="D22" s="85" t="s">
        <v>1102</v>
      </c>
      <c r="E22" s="85" t="s">
        <v>1103</v>
      </c>
      <c r="F22" s="85" t="s">
        <v>1104</v>
      </c>
      <c r="G22" s="85" t="s">
        <v>1105</v>
      </c>
    </row>
    <row r="23" spans="1:7" ht="36">
      <c r="A23" s="88" t="s">
        <v>1106</v>
      </c>
      <c r="B23" s="85" t="s">
        <v>1107</v>
      </c>
      <c r="C23" s="85" t="s">
        <v>1108</v>
      </c>
      <c r="D23" s="85" t="s">
        <v>1109</v>
      </c>
      <c r="E23" s="85" t="s">
        <v>1110</v>
      </c>
      <c r="F23" s="85" t="s">
        <v>1111</v>
      </c>
      <c r="G23" s="85" t="s">
        <v>1112</v>
      </c>
    </row>
    <row r="24" spans="1:7" ht="48">
      <c r="A24" s="88" t="s">
        <v>1113</v>
      </c>
      <c r="B24" s="85" t="s">
        <v>1114</v>
      </c>
      <c r="C24" s="85" t="s">
        <v>1115</v>
      </c>
      <c r="D24" s="85" t="s">
        <v>1116</v>
      </c>
      <c r="E24" s="85" t="s">
        <v>1117</v>
      </c>
      <c r="F24" s="85" t="s">
        <v>1118</v>
      </c>
      <c r="G24" s="85" t="s">
        <v>1119</v>
      </c>
    </row>
    <row r="25" spans="1:7" ht="36">
      <c r="A25" s="88" t="s">
        <v>1120</v>
      </c>
      <c r="B25" s="85" t="s">
        <v>1121</v>
      </c>
      <c r="C25" s="85" t="s">
        <v>1122</v>
      </c>
      <c r="D25" s="85" t="s">
        <v>1123</v>
      </c>
      <c r="E25" s="85" t="s">
        <v>1124</v>
      </c>
      <c r="F25" s="85" t="s">
        <v>1125</v>
      </c>
      <c r="G25" s="85" t="s">
        <v>1126</v>
      </c>
    </row>
    <row r="26" spans="1:7" ht="36">
      <c r="A26" s="88" t="s">
        <v>1127</v>
      </c>
      <c r="B26" s="85" t="s">
        <v>1128</v>
      </c>
      <c r="C26" s="85" t="s">
        <v>1129</v>
      </c>
      <c r="D26" s="85" t="s">
        <v>1130</v>
      </c>
      <c r="E26" s="85" t="s">
        <v>1131</v>
      </c>
      <c r="F26" s="85" t="s">
        <v>1132</v>
      </c>
      <c r="G26" s="85" t="s">
        <v>1133</v>
      </c>
    </row>
    <row r="27" spans="1:7" ht="48">
      <c r="A27" s="88" t="s">
        <v>1134</v>
      </c>
      <c r="B27" s="85" t="s">
        <v>1135</v>
      </c>
      <c r="C27" s="85" t="s">
        <v>1136</v>
      </c>
      <c r="D27" s="85" t="s">
        <v>1137</v>
      </c>
      <c r="E27" s="85" t="s">
        <v>1138</v>
      </c>
      <c r="F27" s="85" t="s">
        <v>1139</v>
      </c>
      <c r="G27" s="85" t="s">
        <v>1140</v>
      </c>
    </row>
    <row r="29" spans="1:7">
      <c r="A29" s="317" t="s">
        <v>1141</v>
      </c>
      <c r="B29" s="317"/>
      <c r="C29" s="317"/>
      <c r="D29" s="317"/>
      <c r="E29" s="317"/>
      <c r="F29" s="317"/>
      <c r="G29" s="317"/>
    </row>
    <row r="30" spans="1:7">
      <c r="A30" s="317"/>
      <c r="B30" s="317"/>
      <c r="C30" s="317"/>
      <c r="D30" s="317"/>
      <c r="E30" s="317"/>
      <c r="F30" s="317"/>
      <c r="G30" s="317"/>
    </row>
  </sheetData>
  <mergeCells count="6">
    <mergeCell ref="A29:G30"/>
    <mergeCell ref="A1:G1"/>
    <mergeCell ref="A2:G2"/>
    <mergeCell ref="A4:G5"/>
    <mergeCell ref="A7:G7"/>
    <mergeCell ref="A20:G20"/>
  </mergeCells>
  <pageMargins left="0.7" right="0.7" top="0.75" bottom="0.75" header="0.3" footer="0.3"/>
  <headerFooter>
    <oddFooter>&amp;L_x000D_&amp;1#&amp;"Aptos"&amp;10&amp;K000000 Confidential-Internal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FACF4-3A13-4947-976B-12A8C77A2906}">
  <dimension ref="A1:G29"/>
  <sheetViews>
    <sheetView workbookViewId="0">
      <selection activeCell="I11" sqref="I11:J11"/>
    </sheetView>
  </sheetViews>
  <sheetFormatPr defaultRowHeight="14.45"/>
  <cols>
    <col min="1" max="1" width="33.5703125" customWidth="1"/>
    <col min="2" max="7" width="18.140625" customWidth="1"/>
  </cols>
  <sheetData>
    <row r="1" spans="1:7" ht="26.1">
      <c r="A1" s="312" t="s">
        <v>1142</v>
      </c>
      <c r="B1" s="312"/>
      <c r="C1" s="312"/>
      <c r="D1" s="312"/>
      <c r="E1" s="312"/>
      <c r="F1" s="312"/>
      <c r="G1" s="312"/>
    </row>
    <row r="2" spans="1:7">
      <c r="A2" s="299" t="s">
        <v>1143</v>
      </c>
      <c r="B2" s="299"/>
      <c r="C2" s="299"/>
      <c r="D2" s="299"/>
      <c r="E2" s="299"/>
      <c r="F2" s="299"/>
      <c r="G2" s="299"/>
    </row>
    <row r="4" spans="1:7">
      <c r="A4" s="313" t="s">
        <v>1144</v>
      </c>
      <c r="B4" s="313"/>
      <c r="C4" s="313"/>
      <c r="D4" s="313"/>
      <c r="E4" s="313"/>
      <c r="F4" s="313"/>
      <c r="G4" s="313"/>
    </row>
    <row r="5" spans="1:7">
      <c r="A5" s="313"/>
      <c r="B5" s="313"/>
      <c r="C5" s="313"/>
      <c r="D5" s="313"/>
      <c r="E5" s="313"/>
      <c r="F5" s="313"/>
      <c r="G5" s="313"/>
    </row>
    <row r="7" spans="1:7">
      <c r="A7" s="355" t="s">
        <v>1025</v>
      </c>
      <c r="B7" s="355"/>
      <c r="C7" s="355"/>
      <c r="D7" s="355"/>
      <c r="E7" s="355"/>
      <c r="F7" s="355"/>
      <c r="G7" s="355"/>
    </row>
    <row r="8" spans="1:7" ht="29.1">
      <c r="A8" s="70" t="s">
        <v>1026</v>
      </c>
      <c r="B8" s="70" t="s">
        <v>1027</v>
      </c>
      <c r="C8" s="70" t="s">
        <v>1028</v>
      </c>
      <c r="D8" s="70" t="s">
        <v>1029</v>
      </c>
      <c r="E8" s="70" t="s">
        <v>1030</v>
      </c>
      <c r="F8" s="70" t="s">
        <v>1031</v>
      </c>
      <c r="G8" s="70" t="s">
        <v>1032</v>
      </c>
    </row>
    <row r="9" spans="1:7" ht="24">
      <c r="A9" s="87" t="s">
        <v>1145</v>
      </c>
      <c r="B9" s="85" t="s">
        <v>1146</v>
      </c>
      <c r="C9" s="85" t="s">
        <v>1147</v>
      </c>
      <c r="D9" s="85" t="s">
        <v>1148</v>
      </c>
      <c r="E9" s="85" t="s">
        <v>1149</v>
      </c>
      <c r="F9" s="85" t="s">
        <v>1150</v>
      </c>
      <c r="G9" s="85" t="s">
        <v>1151</v>
      </c>
    </row>
    <row r="10" spans="1:7" ht="24">
      <c r="A10" s="87" t="s">
        <v>1152</v>
      </c>
      <c r="B10" s="85" t="s">
        <v>1153</v>
      </c>
      <c r="C10" s="85" t="s">
        <v>1154</v>
      </c>
      <c r="D10" s="85" t="s">
        <v>1155</v>
      </c>
      <c r="E10" s="85" t="s">
        <v>1156</v>
      </c>
      <c r="F10" s="85" t="s">
        <v>1157</v>
      </c>
      <c r="G10" s="85" t="s">
        <v>1158</v>
      </c>
    </row>
    <row r="11" spans="1:7" ht="24">
      <c r="A11" s="87" t="s">
        <v>1159</v>
      </c>
      <c r="B11" s="85" t="s">
        <v>1160</v>
      </c>
      <c r="C11" s="85" t="s">
        <v>1161</v>
      </c>
      <c r="D11" s="85" t="s">
        <v>1162</v>
      </c>
      <c r="E11" s="85" t="s">
        <v>1163</v>
      </c>
      <c r="F11" s="85" t="s">
        <v>1164</v>
      </c>
      <c r="G11" s="85" t="s">
        <v>1165</v>
      </c>
    </row>
    <row r="12" spans="1:7" ht="24">
      <c r="A12" s="87" t="s">
        <v>1166</v>
      </c>
      <c r="B12" s="85" t="s">
        <v>1167</v>
      </c>
      <c r="C12" s="85" t="s">
        <v>1168</v>
      </c>
      <c r="D12" s="85" t="s">
        <v>1169</v>
      </c>
      <c r="E12" s="85" t="s">
        <v>1170</v>
      </c>
      <c r="F12" s="85" t="s">
        <v>1171</v>
      </c>
      <c r="G12" s="85" t="s">
        <v>1172</v>
      </c>
    </row>
    <row r="13" spans="1:7" ht="36">
      <c r="A13" s="87" t="s">
        <v>1173</v>
      </c>
      <c r="B13" s="85" t="s">
        <v>1174</v>
      </c>
      <c r="C13" s="85" t="s">
        <v>1175</v>
      </c>
      <c r="D13" s="85" t="s">
        <v>1087</v>
      </c>
      <c r="E13" s="85" t="s">
        <v>1176</v>
      </c>
      <c r="F13" s="85" t="s">
        <v>1177</v>
      </c>
      <c r="G13" s="85" t="s">
        <v>1178</v>
      </c>
    </row>
    <row r="14" spans="1:7" ht="24">
      <c r="A14" s="87" t="s">
        <v>1179</v>
      </c>
      <c r="B14" s="85" t="s">
        <v>1180</v>
      </c>
      <c r="C14" s="85" t="s">
        <v>1181</v>
      </c>
      <c r="D14" s="85" t="s">
        <v>1182</v>
      </c>
      <c r="E14" s="85" t="s">
        <v>1183</v>
      </c>
      <c r="F14" s="85" t="s">
        <v>1184</v>
      </c>
      <c r="G14" s="85" t="s">
        <v>1076</v>
      </c>
    </row>
    <row r="15" spans="1:7" ht="24">
      <c r="A15" s="87" t="s">
        <v>1185</v>
      </c>
      <c r="B15" s="85" t="s">
        <v>1186</v>
      </c>
      <c r="C15" s="85" t="s">
        <v>1187</v>
      </c>
      <c r="D15" s="85" t="s">
        <v>1188</v>
      </c>
      <c r="E15" s="85" t="s">
        <v>1189</v>
      </c>
      <c r="F15" s="85" t="s">
        <v>1190</v>
      </c>
      <c r="G15" s="85" t="s">
        <v>1191</v>
      </c>
    </row>
    <row r="16" spans="1:7" ht="24">
      <c r="A16" s="87" t="s">
        <v>1192</v>
      </c>
      <c r="B16" s="85" t="s">
        <v>1193</v>
      </c>
      <c r="C16" s="85" t="s">
        <v>1194</v>
      </c>
      <c r="D16" s="85" t="s">
        <v>1195</v>
      </c>
      <c r="E16" s="85" t="s">
        <v>1196</v>
      </c>
      <c r="F16" s="85" t="s">
        <v>1197</v>
      </c>
      <c r="G16" s="85" t="s">
        <v>1198</v>
      </c>
    </row>
    <row r="17" spans="1:7" ht="24">
      <c r="A17" s="87" t="s">
        <v>1199</v>
      </c>
      <c r="B17" s="85" t="s">
        <v>1200</v>
      </c>
      <c r="C17" s="85" t="s">
        <v>1201</v>
      </c>
      <c r="D17" s="85" t="s">
        <v>1202</v>
      </c>
      <c r="E17" s="85" t="s">
        <v>1203</v>
      </c>
      <c r="F17" s="85" t="s">
        <v>1204</v>
      </c>
      <c r="G17" s="85" t="s">
        <v>1045</v>
      </c>
    </row>
    <row r="18" spans="1:7" ht="24">
      <c r="A18" s="87" t="s">
        <v>1205</v>
      </c>
      <c r="B18" s="85" t="s">
        <v>1092</v>
      </c>
      <c r="C18" s="85" t="s">
        <v>1206</v>
      </c>
      <c r="D18" s="85" t="s">
        <v>1207</v>
      </c>
      <c r="E18" s="85" t="s">
        <v>1208</v>
      </c>
      <c r="F18" s="85" t="s">
        <v>1209</v>
      </c>
      <c r="G18" s="85" t="s">
        <v>1210</v>
      </c>
    </row>
    <row r="20" spans="1:7">
      <c r="A20" s="355" t="s">
        <v>1211</v>
      </c>
      <c r="B20" s="355"/>
      <c r="C20" s="355"/>
      <c r="D20" s="355"/>
      <c r="E20" s="355"/>
      <c r="F20" s="355"/>
      <c r="G20" s="355"/>
    </row>
    <row r="21" spans="1:7" ht="29.1">
      <c r="A21" s="70" t="s">
        <v>1026</v>
      </c>
      <c r="B21" s="70" t="s">
        <v>1027</v>
      </c>
      <c r="C21" s="70" t="s">
        <v>1028</v>
      </c>
      <c r="D21" s="70" t="s">
        <v>1029</v>
      </c>
      <c r="E21" s="70" t="s">
        <v>1030</v>
      </c>
      <c r="F21" s="70" t="s">
        <v>1031</v>
      </c>
      <c r="G21" s="70" t="s">
        <v>1032</v>
      </c>
    </row>
    <row r="22" spans="1:7" ht="48">
      <c r="A22" s="88" t="s">
        <v>1212</v>
      </c>
      <c r="B22" s="85" t="s">
        <v>1213</v>
      </c>
      <c r="C22" s="85" t="s">
        <v>1214</v>
      </c>
      <c r="D22" s="85" t="s">
        <v>1215</v>
      </c>
      <c r="E22" s="85" t="s">
        <v>1216</v>
      </c>
      <c r="F22" s="85" t="s">
        <v>1217</v>
      </c>
      <c r="G22" s="85" t="s">
        <v>1218</v>
      </c>
    </row>
    <row r="23" spans="1:7" ht="48">
      <c r="A23" s="88" t="s">
        <v>1219</v>
      </c>
      <c r="B23" s="85" t="s">
        <v>1220</v>
      </c>
      <c r="C23" s="85" t="s">
        <v>1221</v>
      </c>
      <c r="D23" s="85" t="s">
        <v>1222</v>
      </c>
      <c r="E23" s="85" t="s">
        <v>1223</v>
      </c>
      <c r="F23" s="85" t="s">
        <v>1224</v>
      </c>
      <c r="G23" s="85" t="s">
        <v>1225</v>
      </c>
    </row>
    <row r="24" spans="1:7" ht="48">
      <c r="A24" s="88" t="s">
        <v>1226</v>
      </c>
      <c r="B24" s="85" t="s">
        <v>1227</v>
      </c>
      <c r="C24" s="85" t="s">
        <v>1228</v>
      </c>
      <c r="D24" s="85" t="s">
        <v>1229</v>
      </c>
      <c r="E24" s="85" t="s">
        <v>1230</v>
      </c>
      <c r="F24" s="85" t="s">
        <v>1231</v>
      </c>
      <c r="G24" s="85" t="s">
        <v>1232</v>
      </c>
    </row>
    <row r="25" spans="1:7" ht="36">
      <c r="A25" s="88" t="s">
        <v>1233</v>
      </c>
      <c r="B25" s="85" t="s">
        <v>1234</v>
      </c>
      <c r="C25" s="85" t="s">
        <v>1235</v>
      </c>
      <c r="D25" s="85" t="s">
        <v>1236</v>
      </c>
      <c r="E25" s="85" t="s">
        <v>1237</v>
      </c>
      <c r="F25" s="85" t="s">
        <v>1238</v>
      </c>
      <c r="G25" s="85" t="s">
        <v>1239</v>
      </c>
    </row>
    <row r="26" spans="1:7" ht="48">
      <c r="A26" s="88" t="s">
        <v>1240</v>
      </c>
      <c r="B26" s="85" t="s">
        <v>1241</v>
      </c>
      <c r="C26" s="85" t="s">
        <v>1242</v>
      </c>
      <c r="D26" s="85" t="s">
        <v>1243</v>
      </c>
      <c r="E26" s="85" t="s">
        <v>1244</v>
      </c>
      <c r="F26" s="85" t="s">
        <v>1245</v>
      </c>
      <c r="G26" s="85" t="s">
        <v>1246</v>
      </c>
    </row>
    <row r="28" spans="1:7">
      <c r="A28" s="317" t="s">
        <v>1247</v>
      </c>
      <c r="B28" s="317"/>
      <c r="C28" s="317"/>
      <c r="D28" s="317"/>
      <c r="E28" s="317"/>
      <c r="F28" s="317"/>
      <c r="G28" s="317"/>
    </row>
    <row r="29" spans="1:7">
      <c r="A29" s="317"/>
      <c r="B29" s="317"/>
      <c r="C29" s="317"/>
      <c r="D29" s="317"/>
      <c r="E29" s="317"/>
      <c r="F29" s="317"/>
      <c r="G29" s="317"/>
    </row>
  </sheetData>
  <mergeCells count="6">
    <mergeCell ref="A28:G29"/>
    <mergeCell ref="A1:G1"/>
    <mergeCell ref="A2:G2"/>
    <mergeCell ref="A4:G5"/>
    <mergeCell ref="A7:G7"/>
    <mergeCell ref="A20:G20"/>
  </mergeCells>
  <pageMargins left="0.7" right="0.7" top="0.75" bottom="0.75" header="0.3" footer="0.3"/>
  <headerFooter>
    <oddFooter>&amp;L_x000D_&amp;1#&amp;"Aptos"&amp;10&amp;K000000 Confidential-Internal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3E3E8-E0CA-47FF-B1BD-5DBAFF1252B8}">
  <dimension ref="A1:G40"/>
  <sheetViews>
    <sheetView workbookViewId="0">
      <selection activeCell="I11" sqref="I11:J11"/>
    </sheetView>
  </sheetViews>
  <sheetFormatPr defaultRowHeight="14.45"/>
  <cols>
    <col min="1" max="1" width="22.7109375" customWidth="1"/>
    <col min="2" max="2" width="26.42578125" customWidth="1"/>
    <col min="3" max="3" width="27.28515625" customWidth="1"/>
    <col min="4" max="6" width="24.5703125" customWidth="1"/>
    <col min="7" max="7" width="26.42578125" customWidth="1"/>
  </cols>
  <sheetData>
    <row r="1" spans="1:7" ht="26.1">
      <c r="A1" s="298" t="s">
        <v>1248</v>
      </c>
      <c r="B1" s="298"/>
      <c r="C1" s="298"/>
      <c r="D1" s="298"/>
      <c r="E1" s="298"/>
      <c r="F1" s="298"/>
      <c r="G1" s="298"/>
    </row>
    <row r="2" spans="1:7">
      <c r="A2" s="299" t="s">
        <v>1249</v>
      </c>
      <c r="B2" s="299"/>
      <c r="C2" s="299"/>
      <c r="D2" s="299"/>
      <c r="E2" s="299"/>
      <c r="F2" s="299"/>
      <c r="G2" s="299"/>
    </row>
    <row r="3" spans="1:7">
      <c r="A3" s="57"/>
      <c r="B3" s="57"/>
      <c r="C3" s="57"/>
      <c r="D3" s="57"/>
      <c r="E3" s="57"/>
      <c r="F3" s="57"/>
      <c r="G3" s="57"/>
    </row>
    <row r="4" spans="1:7">
      <c r="A4" s="313" t="s">
        <v>1250</v>
      </c>
      <c r="B4" s="313"/>
      <c r="C4" s="313"/>
      <c r="D4" s="313"/>
      <c r="E4" s="313"/>
      <c r="F4" s="313"/>
      <c r="G4" s="313"/>
    </row>
    <row r="5" spans="1:7">
      <c r="A5" s="313"/>
      <c r="B5" s="313"/>
      <c r="C5" s="313"/>
      <c r="D5" s="313"/>
      <c r="E5" s="313"/>
      <c r="F5" s="313"/>
      <c r="G5" s="313"/>
    </row>
    <row r="6" spans="1:7">
      <c r="A6" s="57"/>
      <c r="B6" s="57"/>
      <c r="C6" s="57"/>
      <c r="D6" s="57"/>
      <c r="E6" s="57"/>
      <c r="F6" s="57"/>
      <c r="G6" s="57"/>
    </row>
    <row r="7" spans="1:7">
      <c r="A7" s="318" t="s">
        <v>1251</v>
      </c>
      <c r="B7" s="318"/>
      <c r="C7" s="318"/>
      <c r="D7" s="318"/>
      <c r="E7" s="318"/>
      <c r="F7" s="318"/>
      <c r="G7" s="318"/>
    </row>
    <row r="8" spans="1:7">
      <c r="A8" s="70" t="s">
        <v>1252</v>
      </c>
      <c r="B8" s="70" t="s">
        <v>1253</v>
      </c>
      <c r="C8" s="70" t="s">
        <v>1254</v>
      </c>
      <c r="D8" s="70" t="s">
        <v>1255</v>
      </c>
      <c r="E8" s="70" t="s">
        <v>1256</v>
      </c>
      <c r="F8" s="70" t="s">
        <v>1257</v>
      </c>
      <c r="G8" s="70" t="s">
        <v>1258</v>
      </c>
    </row>
    <row r="9" spans="1:7" ht="36">
      <c r="A9" s="87" t="s">
        <v>1259</v>
      </c>
      <c r="B9" s="85" t="s">
        <v>1260</v>
      </c>
      <c r="C9" s="85" t="s">
        <v>1261</v>
      </c>
      <c r="D9" s="85" t="s">
        <v>1262</v>
      </c>
      <c r="E9" s="85" t="s">
        <v>1263</v>
      </c>
      <c r="F9" s="85" t="s">
        <v>1264</v>
      </c>
      <c r="G9" s="85" t="s">
        <v>1265</v>
      </c>
    </row>
    <row r="10" spans="1:7" ht="36">
      <c r="A10" s="87" t="s">
        <v>1266</v>
      </c>
      <c r="B10" s="85" t="s">
        <v>1267</v>
      </c>
      <c r="C10" s="85" t="s">
        <v>1268</v>
      </c>
      <c r="D10" s="85" t="s">
        <v>1269</v>
      </c>
      <c r="E10" s="85" t="s">
        <v>1270</v>
      </c>
      <c r="F10" s="85" t="s">
        <v>1271</v>
      </c>
      <c r="G10" s="85" t="s">
        <v>1272</v>
      </c>
    </row>
    <row r="11" spans="1:7" ht="36">
      <c r="A11" s="87" t="s">
        <v>1273</v>
      </c>
      <c r="B11" s="85" t="s">
        <v>1274</v>
      </c>
      <c r="C11" s="85" t="s">
        <v>1275</v>
      </c>
      <c r="D11" s="85" t="s">
        <v>1276</v>
      </c>
      <c r="E11" s="85" t="s">
        <v>1277</v>
      </c>
      <c r="F11" s="85" t="s">
        <v>1278</v>
      </c>
      <c r="G11" s="85" t="s">
        <v>1279</v>
      </c>
    </row>
    <row r="12" spans="1:7" ht="36">
      <c r="A12" s="87" t="s">
        <v>1280</v>
      </c>
      <c r="B12" s="85" t="s">
        <v>1281</v>
      </c>
      <c r="C12" s="85" t="s">
        <v>1282</v>
      </c>
      <c r="D12" s="85" t="s">
        <v>1283</v>
      </c>
      <c r="E12" s="85" t="s">
        <v>1284</v>
      </c>
      <c r="F12" s="85" t="s">
        <v>1285</v>
      </c>
      <c r="G12" s="85" t="s">
        <v>1286</v>
      </c>
    </row>
    <row r="13" spans="1:7" ht="36">
      <c r="A13" s="87" t="s">
        <v>1287</v>
      </c>
      <c r="B13" s="85" t="s">
        <v>1288</v>
      </c>
      <c r="C13" s="85" t="s">
        <v>1289</v>
      </c>
      <c r="D13" s="85" t="s">
        <v>1290</v>
      </c>
      <c r="E13" s="85" t="s">
        <v>1291</v>
      </c>
      <c r="F13" s="85" t="s">
        <v>1292</v>
      </c>
      <c r="G13" s="85" t="s">
        <v>1293</v>
      </c>
    </row>
    <row r="14" spans="1:7" ht="36">
      <c r="A14" s="87" t="s">
        <v>1294</v>
      </c>
      <c r="B14" s="85" t="s">
        <v>1295</v>
      </c>
      <c r="C14" s="85" t="s">
        <v>1296</v>
      </c>
      <c r="D14" s="85" t="s">
        <v>1297</v>
      </c>
      <c r="E14" s="85" t="s">
        <v>1298</v>
      </c>
      <c r="F14" s="85" t="s">
        <v>1299</v>
      </c>
      <c r="G14" s="85" t="s">
        <v>1300</v>
      </c>
    </row>
    <row r="15" spans="1:7" ht="36">
      <c r="A15" s="87" t="s">
        <v>1301</v>
      </c>
      <c r="B15" s="85" t="s">
        <v>1302</v>
      </c>
      <c r="C15" s="85" t="s">
        <v>1303</v>
      </c>
      <c r="D15" s="85" t="s">
        <v>1304</v>
      </c>
      <c r="E15" s="85" t="s">
        <v>1305</v>
      </c>
      <c r="F15" s="85" t="s">
        <v>1306</v>
      </c>
      <c r="G15" s="85" t="s">
        <v>1307</v>
      </c>
    </row>
    <row r="16" spans="1:7" ht="36">
      <c r="A16" s="87" t="s">
        <v>1308</v>
      </c>
      <c r="B16" s="85" t="s">
        <v>1309</v>
      </c>
      <c r="C16" s="85" t="s">
        <v>1310</v>
      </c>
      <c r="D16" s="85" t="s">
        <v>1311</v>
      </c>
      <c r="E16" s="85" t="s">
        <v>1312</v>
      </c>
      <c r="F16" s="85" t="s">
        <v>1313</v>
      </c>
      <c r="G16" s="85" t="s">
        <v>1314</v>
      </c>
    </row>
    <row r="17" spans="1:7" ht="36">
      <c r="A17" s="87" t="s">
        <v>1315</v>
      </c>
      <c r="B17" s="85" t="s">
        <v>1316</v>
      </c>
      <c r="C17" s="85" t="s">
        <v>1317</v>
      </c>
      <c r="D17" s="85" t="s">
        <v>1318</v>
      </c>
      <c r="E17" s="85" t="s">
        <v>1319</v>
      </c>
      <c r="F17" s="85" t="s">
        <v>1320</v>
      </c>
      <c r="G17" s="85" t="s">
        <v>1321</v>
      </c>
    </row>
    <row r="18" spans="1:7" ht="36">
      <c r="A18" s="87" t="s">
        <v>1322</v>
      </c>
      <c r="B18" s="85" t="s">
        <v>1323</v>
      </c>
      <c r="C18" s="85" t="s">
        <v>1324</v>
      </c>
      <c r="D18" s="85" t="s">
        <v>1325</v>
      </c>
      <c r="E18" s="85" t="s">
        <v>1326</v>
      </c>
      <c r="F18" s="85" t="s">
        <v>1327</v>
      </c>
      <c r="G18" s="85" t="s">
        <v>1328</v>
      </c>
    </row>
    <row r="19" spans="1:7" ht="36">
      <c r="A19" s="87" t="s">
        <v>1329</v>
      </c>
      <c r="B19" s="85" t="s">
        <v>1330</v>
      </c>
      <c r="C19" s="85" t="s">
        <v>1331</v>
      </c>
      <c r="D19" s="85" t="s">
        <v>1332</v>
      </c>
      <c r="E19" s="85" t="s">
        <v>1333</v>
      </c>
      <c r="F19" s="85" t="s">
        <v>1334</v>
      </c>
      <c r="G19" s="85" t="s">
        <v>1335</v>
      </c>
    </row>
    <row r="20" spans="1:7" ht="168">
      <c r="A20" s="87" t="s">
        <v>1336</v>
      </c>
      <c r="B20" s="85" t="s">
        <v>1337</v>
      </c>
      <c r="C20" s="85" t="s">
        <v>1338</v>
      </c>
      <c r="D20" s="85" t="s">
        <v>1339</v>
      </c>
      <c r="E20" s="85" t="s">
        <v>1340</v>
      </c>
      <c r="F20" s="85" t="s">
        <v>1341</v>
      </c>
      <c r="G20" s="85" t="s">
        <v>1342</v>
      </c>
    </row>
    <row r="21" spans="1:7" ht="144">
      <c r="A21" s="87" t="s">
        <v>1343</v>
      </c>
      <c r="B21" s="85" t="s">
        <v>1344</v>
      </c>
      <c r="C21" s="85" t="s">
        <v>1345</v>
      </c>
      <c r="D21" s="85" t="s">
        <v>1346</v>
      </c>
      <c r="E21" s="85" t="s">
        <v>1347</v>
      </c>
      <c r="F21" s="85" t="s">
        <v>1348</v>
      </c>
      <c r="G21" s="85" t="s">
        <v>1349</v>
      </c>
    </row>
    <row r="22" spans="1:7" ht="144">
      <c r="A22" s="87" t="s">
        <v>1350</v>
      </c>
      <c r="B22" s="85" t="s">
        <v>1351</v>
      </c>
      <c r="C22" s="85" t="s">
        <v>1352</v>
      </c>
      <c r="D22" s="85" t="s">
        <v>1353</v>
      </c>
      <c r="E22" s="85" t="s">
        <v>1354</v>
      </c>
      <c r="F22" s="85" t="s">
        <v>1355</v>
      </c>
      <c r="G22" s="85" t="s">
        <v>1356</v>
      </c>
    </row>
    <row r="23" spans="1:7" ht="192">
      <c r="A23" s="87" t="s">
        <v>1357</v>
      </c>
      <c r="B23" s="85" t="s">
        <v>1358</v>
      </c>
      <c r="C23" s="85" t="s">
        <v>1359</v>
      </c>
      <c r="D23" s="85" t="s">
        <v>1360</v>
      </c>
      <c r="E23" s="85" t="s">
        <v>1361</v>
      </c>
      <c r="F23" s="85" t="s">
        <v>1362</v>
      </c>
      <c r="G23" s="85" t="s">
        <v>1363</v>
      </c>
    </row>
    <row r="24" spans="1:7" ht="132">
      <c r="A24" s="87" t="s">
        <v>1364</v>
      </c>
      <c r="B24" s="85" t="s">
        <v>1365</v>
      </c>
      <c r="C24" s="85" t="s">
        <v>1366</v>
      </c>
      <c r="D24" s="85" t="s">
        <v>1367</v>
      </c>
      <c r="E24" s="85" t="s">
        <v>1368</v>
      </c>
      <c r="F24" s="85" t="s">
        <v>1369</v>
      </c>
      <c r="G24" s="85" t="s">
        <v>1370</v>
      </c>
    </row>
    <row r="25" spans="1:7">
      <c r="A25" s="57"/>
      <c r="B25" s="57"/>
      <c r="C25" s="57"/>
      <c r="D25" s="57"/>
      <c r="E25" s="57"/>
      <c r="F25" s="57"/>
      <c r="G25" s="57"/>
    </row>
    <row r="26" spans="1:7">
      <c r="A26" s="318" t="s">
        <v>1371</v>
      </c>
      <c r="B26" s="318"/>
      <c r="C26" s="318"/>
      <c r="D26" s="318"/>
      <c r="E26" s="318"/>
      <c r="F26" s="318"/>
      <c r="G26" s="318"/>
    </row>
    <row r="27" spans="1:7" ht="29.1">
      <c r="A27" s="70" t="s">
        <v>1026</v>
      </c>
      <c r="B27" s="70" t="s">
        <v>1027</v>
      </c>
      <c r="C27" s="70" t="s">
        <v>1028</v>
      </c>
      <c r="D27" s="70" t="s">
        <v>1029</v>
      </c>
      <c r="E27" s="70" t="s">
        <v>1030</v>
      </c>
      <c r="F27" s="70" t="s">
        <v>1031</v>
      </c>
      <c r="G27" s="70" t="s">
        <v>1032</v>
      </c>
    </row>
    <row r="28" spans="1:7" ht="24">
      <c r="A28" s="88" t="s">
        <v>1372</v>
      </c>
      <c r="B28" s="85" t="s">
        <v>1373</v>
      </c>
      <c r="C28" s="85" t="s">
        <v>1374</v>
      </c>
      <c r="D28" s="85" t="s">
        <v>1375</v>
      </c>
      <c r="E28" s="85" t="s">
        <v>1376</v>
      </c>
      <c r="F28" s="85" t="s">
        <v>1377</v>
      </c>
      <c r="G28" s="85" t="s">
        <v>1378</v>
      </c>
    </row>
    <row r="29" spans="1:7" ht="24">
      <c r="A29" s="88" t="s">
        <v>1379</v>
      </c>
      <c r="B29" s="85" t="s">
        <v>1380</v>
      </c>
      <c r="C29" s="85" t="s">
        <v>1381</v>
      </c>
      <c r="D29" s="85" t="s">
        <v>1382</v>
      </c>
      <c r="E29" s="85" t="s">
        <v>1383</v>
      </c>
      <c r="F29" s="85" t="s">
        <v>1384</v>
      </c>
      <c r="G29" s="85" t="s">
        <v>1385</v>
      </c>
    </row>
    <row r="30" spans="1:7" ht="24">
      <c r="A30" s="88" t="s">
        <v>1386</v>
      </c>
      <c r="B30" s="85" t="s">
        <v>1387</v>
      </c>
      <c r="C30" s="85" t="s">
        <v>1388</v>
      </c>
      <c r="D30" s="85" t="s">
        <v>1389</v>
      </c>
      <c r="E30" s="85" t="s">
        <v>1390</v>
      </c>
      <c r="F30" s="85" t="s">
        <v>1391</v>
      </c>
      <c r="G30" s="85" t="s">
        <v>1392</v>
      </c>
    </row>
    <row r="31" spans="1:7" ht="24">
      <c r="A31" s="88" t="s">
        <v>1393</v>
      </c>
      <c r="B31" s="85" t="s">
        <v>1394</v>
      </c>
      <c r="C31" s="85" t="s">
        <v>1395</v>
      </c>
      <c r="D31" s="85" t="s">
        <v>1396</v>
      </c>
      <c r="E31" s="85" t="s">
        <v>1397</v>
      </c>
      <c r="F31" s="85" t="s">
        <v>1398</v>
      </c>
      <c r="G31" s="85" t="s">
        <v>1399</v>
      </c>
    </row>
    <row r="32" spans="1:7" ht="36">
      <c r="A32" s="88" t="s">
        <v>1400</v>
      </c>
      <c r="B32" s="85" t="s">
        <v>1401</v>
      </c>
      <c r="C32" s="85" t="s">
        <v>1402</v>
      </c>
      <c r="D32" s="85" t="s">
        <v>1403</v>
      </c>
      <c r="E32" s="85" t="s">
        <v>1404</v>
      </c>
      <c r="F32" s="85" t="s">
        <v>1405</v>
      </c>
      <c r="G32" s="85" t="s">
        <v>1406</v>
      </c>
    </row>
    <row r="33" spans="1:7">
      <c r="A33" s="57"/>
      <c r="B33" s="57"/>
      <c r="C33" s="57"/>
      <c r="D33" s="57"/>
      <c r="E33" s="57"/>
      <c r="F33" s="57"/>
      <c r="G33" s="57"/>
    </row>
    <row r="34" spans="1:7">
      <c r="A34" s="317" t="s">
        <v>1407</v>
      </c>
      <c r="B34" s="317"/>
      <c r="C34" s="317"/>
      <c r="D34" s="317"/>
      <c r="E34" s="317"/>
      <c r="F34" s="317"/>
      <c r="G34" s="317"/>
    </row>
    <row r="35" spans="1:7">
      <c r="A35" s="317"/>
      <c r="B35" s="317"/>
      <c r="C35" s="317"/>
      <c r="D35" s="317"/>
      <c r="E35" s="317"/>
      <c r="F35" s="317"/>
      <c r="G35" s="317"/>
    </row>
    <row r="36" spans="1:7">
      <c r="A36" s="57"/>
      <c r="B36" s="57"/>
      <c r="C36" s="57"/>
      <c r="D36" s="57"/>
      <c r="E36" s="57"/>
      <c r="F36" s="57"/>
      <c r="G36" s="57"/>
    </row>
    <row r="37" spans="1:7">
      <c r="A37" s="57"/>
      <c r="B37" s="57"/>
      <c r="C37" s="57"/>
      <c r="D37" s="57"/>
      <c r="E37" s="57"/>
      <c r="F37" s="57"/>
      <c r="G37" s="57"/>
    </row>
    <row r="38" spans="1:7">
      <c r="A38" s="57"/>
      <c r="B38" s="57"/>
      <c r="C38" s="57"/>
      <c r="D38" s="57"/>
      <c r="E38" s="57"/>
      <c r="F38" s="57"/>
      <c r="G38" s="57"/>
    </row>
    <row r="39" spans="1:7">
      <c r="A39" s="57"/>
      <c r="B39" s="57"/>
      <c r="C39" s="57"/>
      <c r="D39" s="57"/>
      <c r="E39" s="57"/>
      <c r="F39" s="57"/>
      <c r="G39" s="57"/>
    </row>
    <row r="40" spans="1:7">
      <c r="A40" s="57"/>
      <c r="B40" s="57"/>
      <c r="C40" s="57"/>
      <c r="D40" s="57"/>
      <c r="E40" s="57"/>
      <c r="F40" s="57"/>
      <c r="G40" s="57"/>
    </row>
  </sheetData>
  <mergeCells count="6">
    <mergeCell ref="A34:G35"/>
    <mergeCell ref="A1:G1"/>
    <mergeCell ref="A2:G2"/>
    <mergeCell ref="A4:G5"/>
    <mergeCell ref="A7:G7"/>
    <mergeCell ref="A26:G26"/>
  </mergeCells>
  <pageMargins left="0.7" right="0.7" top="0.75" bottom="0.75" header="0.3" footer="0.3"/>
  <headerFooter>
    <oddFooter>&amp;L_x000D_&amp;1#&amp;"Aptos"&amp;10&amp;K000000 Confidential-Internal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281ED-37F3-4743-81F6-EB1A347119DC}">
  <dimension ref="A1:G28"/>
  <sheetViews>
    <sheetView topLeftCell="E11" workbookViewId="0">
      <selection activeCell="I11" sqref="I11:J11"/>
    </sheetView>
  </sheetViews>
  <sheetFormatPr defaultRowHeight="14.45"/>
  <cols>
    <col min="1" max="1" width="28.140625" customWidth="1"/>
    <col min="2" max="2" width="37.28515625" customWidth="1"/>
    <col min="3" max="3" width="24.5703125" customWidth="1"/>
    <col min="4" max="4" width="22.7109375" customWidth="1"/>
    <col min="5" max="7" width="24.5703125" customWidth="1"/>
  </cols>
  <sheetData>
    <row r="1" spans="1:7" ht="26.1">
      <c r="A1" s="312" t="s">
        <v>1408</v>
      </c>
      <c r="B1" s="312"/>
      <c r="C1" s="312"/>
      <c r="D1" s="312"/>
      <c r="E1" s="312"/>
      <c r="F1" s="312"/>
      <c r="G1" s="312"/>
    </row>
    <row r="2" spans="1:7">
      <c r="A2" s="319" t="s">
        <v>1409</v>
      </c>
      <c r="B2" s="319"/>
      <c r="C2" s="319"/>
      <c r="D2" s="319"/>
      <c r="E2" s="319"/>
      <c r="F2" s="319"/>
      <c r="G2" s="319"/>
    </row>
    <row r="4" spans="1:7">
      <c r="A4" s="355" t="s">
        <v>1410</v>
      </c>
      <c r="B4" s="355"/>
      <c r="C4" s="355"/>
      <c r="D4" s="355"/>
      <c r="E4" s="355"/>
      <c r="F4" s="355"/>
      <c r="G4" s="355"/>
    </row>
    <row r="5" spans="1:7">
      <c r="A5" s="313" t="s">
        <v>1411</v>
      </c>
      <c r="B5" s="313"/>
      <c r="C5" s="313"/>
      <c r="D5" s="313"/>
      <c r="E5" s="313"/>
      <c r="F5" s="313"/>
      <c r="G5" s="313"/>
    </row>
    <row r="6" spans="1:7">
      <c r="A6" s="313"/>
      <c r="B6" s="313"/>
      <c r="C6" s="313"/>
      <c r="D6" s="313"/>
      <c r="E6" s="313"/>
      <c r="F6" s="313"/>
      <c r="G6" s="313"/>
    </row>
    <row r="8" spans="1:7">
      <c r="A8" s="355" t="s">
        <v>1412</v>
      </c>
      <c r="B8" s="355"/>
      <c r="C8" s="355"/>
      <c r="D8" s="355"/>
      <c r="E8" s="355"/>
      <c r="F8" s="355"/>
      <c r="G8" s="355"/>
    </row>
    <row r="9" spans="1:7">
      <c r="A9" s="70" t="s">
        <v>143</v>
      </c>
      <c r="B9" s="70" t="s">
        <v>1413</v>
      </c>
      <c r="C9" s="70" t="s">
        <v>1414</v>
      </c>
      <c r="D9" s="70" t="s">
        <v>1255</v>
      </c>
      <c r="E9" s="70" t="s">
        <v>1415</v>
      </c>
      <c r="F9" s="70" t="s">
        <v>1416</v>
      </c>
      <c r="G9" s="70" t="s">
        <v>1417</v>
      </c>
    </row>
    <row r="10" spans="1:7" ht="24">
      <c r="A10" s="87" t="s">
        <v>1418</v>
      </c>
      <c r="B10" s="85" t="s">
        <v>1419</v>
      </c>
      <c r="C10" s="85" t="s">
        <v>1420</v>
      </c>
      <c r="D10" s="85" t="s">
        <v>1421</v>
      </c>
      <c r="E10" s="85" t="s">
        <v>1422</v>
      </c>
      <c r="F10" s="85" t="s">
        <v>1418</v>
      </c>
      <c r="G10" s="148" t="s">
        <v>1423</v>
      </c>
    </row>
    <row r="11" spans="1:7" ht="24">
      <c r="A11" s="87" t="s">
        <v>1424</v>
      </c>
      <c r="B11" s="85" t="s">
        <v>1425</v>
      </c>
      <c r="C11" s="85" t="s">
        <v>1426</v>
      </c>
      <c r="D11" s="85" t="s">
        <v>1427</v>
      </c>
      <c r="E11" s="85" t="s">
        <v>1422</v>
      </c>
      <c r="F11" s="85" t="s">
        <v>1424</v>
      </c>
      <c r="G11" s="148" t="s">
        <v>1428</v>
      </c>
    </row>
    <row r="12" spans="1:7" ht="24">
      <c r="A12" s="87" t="s">
        <v>1429</v>
      </c>
      <c r="B12" s="85" t="s">
        <v>1430</v>
      </c>
      <c r="C12" s="85" t="s">
        <v>1431</v>
      </c>
      <c r="D12" s="85" t="s">
        <v>1432</v>
      </c>
      <c r="E12" s="85" t="s">
        <v>1433</v>
      </c>
      <c r="F12" s="85" t="s">
        <v>1429</v>
      </c>
      <c r="G12" s="148" t="s">
        <v>1423</v>
      </c>
    </row>
    <row r="13" spans="1:7" ht="24">
      <c r="A13" s="87" t="s">
        <v>1434</v>
      </c>
      <c r="B13" s="85" t="s">
        <v>1435</v>
      </c>
      <c r="C13" s="85" t="s">
        <v>510</v>
      </c>
      <c r="D13" s="85" t="s">
        <v>1436</v>
      </c>
      <c r="E13" s="85" t="s">
        <v>1422</v>
      </c>
      <c r="F13" s="85" t="s">
        <v>1434</v>
      </c>
      <c r="G13" s="148" t="s">
        <v>1423</v>
      </c>
    </row>
    <row r="14" spans="1:7" ht="24">
      <c r="A14" s="87" t="s">
        <v>1437</v>
      </c>
      <c r="B14" s="85" t="s">
        <v>1438</v>
      </c>
      <c r="C14" s="85" t="s">
        <v>1439</v>
      </c>
      <c r="D14" s="85" t="s">
        <v>1440</v>
      </c>
      <c r="E14" s="85" t="s">
        <v>1422</v>
      </c>
      <c r="F14" s="85" t="s">
        <v>1437</v>
      </c>
      <c r="G14" s="148" t="s">
        <v>1428</v>
      </c>
    </row>
    <row r="15" spans="1:7" ht="24">
      <c r="A15" s="87" t="s">
        <v>1441</v>
      </c>
      <c r="B15" s="85" t="s">
        <v>1442</v>
      </c>
      <c r="C15" s="85" t="s">
        <v>1443</v>
      </c>
      <c r="D15" s="85" t="s">
        <v>1444</v>
      </c>
      <c r="E15" s="85" t="s">
        <v>1433</v>
      </c>
      <c r="F15" s="85" t="s">
        <v>1441</v>
      </c>
      <c r="G15" s="148" t="s">
        <v>1423</v>
      </c>
    </row>
    <row r="16" spans="1:7" ht="24">
      <c r="A16" s="87" t="s">
        <v>1445</v>
      </c>
      <c r="B16" s="85" t="s">
        <v>1446</v>
      </c>
      <c r="C16" s="85" t="s">
        <v>1447</v>
      </c>
      <c r="D16" s="85" t="s">
        <v>1448</v>
      </c>
      <c r="E16" s="85" t="s">
        <v>1422</v>
      </c>
      <c r="F16" s="85" t="s">
        <v>1445</v>
      </c>
      <c r="G16" s="148" t="s">
        <v>1423</v>
      </c>
    </row>
    <row r="17" spans="1:7" ht="24">
      <c r="A17" s="87" t="s">
        <v>1449</v>
      </c>
      <c r="B17" s="85" t="s">
        <v>1450</v>
      </c>
      <c r="C17" s="85" t="s">
        <v>1451</v>
      </c>
      <c r="D17" s="85" t="s">
        <v>1432</v>
      </c>
      <c r="E17" s="85" t="s">
        <v>1422</v>
      </c>
      <c r="F17" s="85" t="s">
        <v>1449</v>
      </c>
      <c r="G17" s="148" t="s">
        <v>1423</v>
      </c>
    </row>
    <row r="19" spans="1:7">
      <c r="A19" s="355" t="s">
        <v>1452</v>
      </c>
      <c r="B19" s="355"/>
      <c r="C19" s="355"/>
      <c r="D19" s="355"/>
      <c r="E19" s="355"/>
      <c r="F19" s="355"/>
      <c r="G19" s="355"/>
    </row>
    <row r="20" spans="1:7">
      <c r="A20" s="70" t="s">
        <v>1453</v>
      </c>
      <c r="B20" s="70" t="s">
        <v>1454</v>
      </c>
      <c r="C20" s="70" t="s">
        <v>1455</v>
      </c>
      <c r="D20" s="70" t="s">
        <v>1456</v>
      </c>
      <c r="E20" s="70" t="s">
        <v>1457</v>
      </c>
      <c r="F20" s="70" t="s">
        <v>1458</v>
      </c>
      <c r="G20" s="70" t="s">
        <v>1459</v>
      </c>
    </row>
    <row r="21" spans="1:7" ht="24">
      <c r="A21" s="172" t="s">
        <v>1460</v>
      </c>
      <c r="B21" s="173" t="s">
        <v>1461</v>
      </c>
      <c r="C21" s="173" t="s">
        <v>1462</v>
      </c>
      <c r="D21" s="173" t="s">
        <v>1463</v>
      </c>
      <c r="E21" s="173" t="s">
        <v>1464</v>
      </c>
      <c r="F21" s="173" t="s">
        <v>1465</v>
      </c>
      <c r="G21" s="173" t="s">
        <v>1378</v>
      </c>
    </row>
    <row r="22" spans="1:7" ht="24">
      <c r="A22" s="172" t="s">
        <v>915</v>
      </c>
      <c r="B22" s="173" t="s">
        <v>1466</v>
      </c>
      <c r="C22" s="173" t="s">
        <v>1467</v>
      </c>
      <c r="D22" s="173" t="s">
        <v>1468</v>
      </c>
      <c r="E22" s="173" t="s">
        <v>1469</v>
      </c>
      <c r="F22" s="173" t="s">
        <v>1470</v>
      </c>
      <c r="G22" s="173" t="s">
        <v>1471</v>
      </c>
    </row>
    <row r="23" spans="1:7" ht="36">
      <c r="A23" s="88" t="s">
        <v>1472</v>
      </c>
      <c r="B23" s="85" t="s">
        <v>1473</v>
      </c>
      <c r="C23" s="85" t="s">
        <v>1474</v>
      </c>
      <c r="D23" s="85" t="s">
        <v>1475</v>
      </c>
      <c r="E23" s="85" t="s">
        <v>1476</v>
      </c>
      <c r="F23" s="85" t="s">
        <v>1477</v>
      </c>
      <c r="G23" s="85" t="s">
        <v>1478</v>
      </c>
    </row>
    <row r="25" spans="1:7">
      <c r="A25" s="355" t="s">
        <v>1479</v>
      </c>
      <c r="B25" s="355"/>
      <c r="C25" s="355"/>
      <c r="D25" s="355"/>
      <c r="E25" s="355"/>
      <c r="F25" s="355"/>
      <c r="G25" s="355"/>
    </row>
    <row r="26" spans="1:7">
      <c r="A26" s="315" t="s">
        <v>1480</v>
      </c>
      <c r="B26" s="315"/>
      <c r="C26" s="315"/>
      <c r="D26" s="315"/>
      <c r="E26" s="315"/>
      <c r="F26" s="315"/>
      <c r="G26" s="315"/>
    </row>
    <row r="27" spans="1:7">
      <c r="A27" s="315"/>
      <c r="B27" s="315"/>
      <c r="C27" s="315"/>
      <c r="D27" s="315"/>
      <c r="E27" s="315"/>
      <c r="F27" s="315"/>
      <c r="G27" s="315"/>
    </row>
    <row r="28" spans="1:7">
      <c r="A28" s="315"/>
      <c r="B28" s="315"/>
      <c r="C28" s="315"/>
      <c r="D28" s="315"/>
      <c r="E28" s="315"/>
      <c r="F28" s="315"/>
      <c r="G28" s="315"/>
    </row>
  </sheetData>
  <mergeCells count="8">
    <mergeCell ref="A25:G25"/>
    <mergeCell ref="A26:G28"/>
    <mergeCell ref="A1:G1"/>
    <mergeCell ref="A2:G2"/>
    <mergeCell ref="A4:G4"/>
    <mergeCell ref="A5:G6"/>
    <mergeCell ref="A8:G8"/>
    <mergeCell ref="A19:G19"/>
  </mergeCells>
  <pageMargins left="0.7" right="0.7" top="0.75" bottom="0.75" header="0.3" footer="0.3"/>
  <headerFooter>
    <oddFooter>&amp;L_x000D_&amp;1#&amp;"Aptos"&amp;10&amp;K000000 Confidential-Internal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F8B52-2A7A-4F22-9840-7343B4B86230}">
  <dimension ref="A1:G28"/>
  <sheetViews>
    <sheetView topLeftCell="A17" workbookViewId="0">
      <selection activeCell="I11" sqref="I11:J11"/>
    </sheetView>
  </sheetViews>
  <sheetFormatPr defaultRowHeight="14.45"/>
  <cols>
    <col min="1" max="1" width="28.140625" customWidth="1"/>
    <col min="2" max="2" width="37.28515625" customWidth="1"/>
    <col min="3" max="3" width="24.5703125" customWidth="1"/>
    <col min="4" max="4" width="22.7109375" customWidth="1"/>
    <col min="5" max="7" width="24.5703125" customWidth="1"/>
  </cols>
  <sheetData>
    <row r="1" spans="1:7" ht="26.1">
      <c r="A1" s="312" t="s">
        <v>1481</v>
      </c>
      <c r="B1" s="312"/>
      <c r="C1" s="312"/>
      <c r="D1" s="312"/>
      <c r="E1" s="312"/>
      <c r="F1" s="312"/>
      <c r="G1" s="312"/>
    </row>
    <row r="2" spans="1:7">
      <c r="A2" s="319" t="s">
        <v>1409</v>
      </c>
      <c r="B2" s="319"/>
      <c r="C2" s="319"/>
      <c r="D2" s="319"/>
      <c r="E2" s="319"/>
      <c r="F2" s="319"/>
      <c r="G2" s="319"/>
    </row>
    <row r="4" spans="1:7">
      <c r="A4" s="355" t="s">
        <v>1410</v>
      </c>
      <c r="B4" s="355"/>
      <c r="C4" s="355"/>
      <c r="D4" s="355"/>
      <c r="E4" s="355"/>
      <c r="F4" s="355"/>
      <c r="G4" s="355"/>
    </row>
    <row r="5" spans="1:7">
      <c r="A5" s="313" t="s">
        <v>1482</v>
      </c>
      <c r="B5" s="313"/>
      <c r="C5" s="313"/>
      <c r="D5" s="313"/>
      <c r="E5" s="313"/>
      <c r="F5" s="313"/>
      <c r="G5" s="313"/>
    </row>
    <row r="6" spans="1:7">
      <c r="A6" s="313"/>
      <c r="B6" s="313"/>
      <c r="C6" s="313"/>
      <c r="D6" s="313"/>
      <c r="E6" s="313"/>
      <c r="F6" s="313"/>
      <c r="G6" s="313"/>
    </row>
    <row r="8" spans="1:7">
      <c r="A8" s="355" t="s">
        <v>1412</v>
      </c>
      <c r="B8" s="355"/>
      <c r="C8" s="355"/>
      <c r="D8" s="355"/>
      <c r="E8" s="355"/>
      <c r="F8" s="355"/>
      <c r="G8" s="355"/>
    </row>
    <row r="9" spans="1:7">
      <c r="A9" s="70" t="s">
        <v>143</v>
      </c>
      <c r="B9" s="70" t="s">
        <v>1413</v>
      </c>
      <c r="C9" s="70" t="s">
        <v>1414</v>
      </c>
      <c r="D9" s="70" t="s">
        <v>1255</v>
      </c>
      <c r="E9" s="70" t="s">
        <v>1415</v>
      </c>
      <c r="F9" s="70" t="s">
        <v>1416</v>
      </c>
      <c r="G9" s="70" t="s">
        <v>1417</v>
      </c>
    </row>
    <row r="10" spans="1:7" ht="24">
      <c r="A10" s="87" t="s">
        <v>1483</v>
      </c>
      <c r="B10" s="85" t="s">
        <v>1484</v>
      </c>
      <c r="C10" s="85" t="s">
        <v>1485</v>
      </c>
      <c r="D10" s="85" t="s">
        <v>1486</v>
      </c>
      <c r="E10" s="85" t="s">
        <v>1487</v>
      </c>
      <c r="F10" s="85" t="s">
        <v>1483</v>
      </c>
      <c r="G10" s="148" t="s">
        <v>1423</v>
      </c>
    </row>
    <row r="11" spans="1:7" ht="24">
      <c r="A11" s="87" t="s">
        <v>1488</v>
      </c>
      <c r="B11" s="85" t="s">
        <v>1489</v>
      </c>
      <c r="C11" s="85" t="s">
        <v>1490</v>
      </c>
      <c r="D11" s="85" t="s">
        <v>1491</v>
      </c>
      <c r="E11" s="85" t="s">
        <v>1487</v>
      </c>
      <c r="F11" s="85" t="s">
        <v>1488</v>
      </c>
      <c r="G11" s="148" t="s">
        <v>1423</v>
      </c>
    </row>
    <row r="12" spans="1:7" ht="24">
      <c r="A12" s="87" t="s">
        <v>1492</v>
      </c>
      <c r="B12" s="85" t="s">
        <v>1493</v>
      </c>
      <c r="C12" s="85" t="s">
        <v>1494</v>
      </c>
      <c r="D12" s="85" t="s">
        <v>1495</v>
      </c>
      <c r="E12" s="85" t="s">
        <v>1487</v>
      </c>
      <c r="F12" s="85" t="s">
        <v>1492</v>
      </c>
      <c r="G12" s="148" t="s">
        <v>1423</v>
      </c>
    </row>
    <row r="13" spans="1:7" ht="24">
      <c r="A13" s="87" t="s">
        <v>1496</v>
      </c>
      <c r="B13" s="85" t="s">
        <v>1497</v>
      </c>
      <c r="C13" s="85" t="s">
        <v>1498</v>
      </c>
      <c r="D13" s="85" t="s">
        <v>1499</v>
      </c>
      <c r="E13" s="85" t="s">
        <v>1487</v>
      </c>
      <c r="F13" s="85" t="s">
        <v>1496</v>
      </c>
      <c r="G13" s="148" t="s">
        <v>1428</v>
      </c>
    </row>
    <row r="14" spans="1:7" ht="24">
      <c r="A14" s="87" t="s">
        <v>1500</v>
      </c>
      <c r="B14" s="85" t="s">
        <v>1501</v>
      </c>
      <c r="C14" s="85" t="s">
        <v>1498</v>
      </c>
      <c r="D14" s="85" t="s">
        <v>1502</v>
      </c>
      <c r="E14" s="85" t="s">
        <v>1487</v>
      </c>
      <c r="F14" s="85" t="s">
        <v>1500</v>
      </c>
      <c r="G14" s="148" t="s">
        <v>1428</v>
      </c>
    </row>
    <row r="15" spans="1:7">
      <c r="A15" s="87"/>
      <c r="B15" s="85"/>
      <c r="C15" s="85"/>
      <c r="D15" s="85"/>
      <c r="E15" s="85"/>
      <c r="F15" s="85"/>
      <c r="G15" s="148"/>
    </row>
    <row r="16" spans="1:7">
      <c r="A16" s="87"/>
      <c r="B16" s="85"/>
      <c r="C16" s="85"/>
      <c r="D16" s="85"/>
      <c r="E16" s="85"/>
      <c r="F16" s="85"/>
      <c r="G16" s="148"/>
    </row>
    <row r="17" spans="1:7">
      <c r="A17" s="87"/>
      <c r="B17" s="85"/>
      <c r="C17" s="85"/>
      <c r="D17" s="85"/>
      <c r="E17" s="85"/>
      <c r="F17" s="85"/>
      <c r="G17" s="148"/>
    </row>
    <row r="19" spans="1:7">
      <c r="A19" s="355" t="s">
        <v>1452</v>
      </c>
      <c r="B19" s="355"/>
      <c r="C19" s="355"/>
      <c r="D19" s="355"/>
      <c r="E19" s="355"/>
      <c r="F19" s="355"/>
      <c r="G19" s="355"/>
    </row>
    <row r="20" spans="1:7">
      <c r="A20" s="70" t="s">
        <v>1453</v>
      </c>
      <c r="B20" s="70" t="s">
        <v>1454</v>
      </c>
      <c r="C20" s="70" t="s">
        <v>1455</v>
      </c>
      <c r="D20" s="70" t="s">
        <v>1456</v>
      </c>
      <c r="E20" s="70" t="s">
        <v>1457</v>
      </c>
      <c r="F20" s="70" t="s">
        <v>1458</v>
      </c>
      <c r="G20" s="70" t="s">
        <v>1459</v>
      </c>
    </row>
    <row r="21" spans="1:7" ht="36">
      <c r="A21" s="172" t="s">
        <v>1460</v>
      </c>
      <c r="B21" s="173" t="s">
        <v>1503</v>
      </c>
      <c r="C21" s="173" t="s">
        <v>1504</v>
      </c>
      <c r="D21" s="173" t="s">
        <v>1505</v>
      </c>
      <c r="E21" s="173" t="s">
        <v>1506</v>
      </c>
      <c r="F21" s="173" t="s">
        <v>1507</v>
      </c>
      <c r="G21" s="173" t="s">
        <v>1508</v>
      </c>
    </row>
    <row r="22" spans="1:7" ht="24">
      <c r="A22" s="172" t="s">
        <v>915</v>
      </c>
      <c r="B22" s="173" t="s">
        <v>1466</v>
      </c>
      <c r="C22" s="173" t="s">
        <v>1467</v>
      </c>
      <c r="D22" s="173" t="s">
        <v>1468</v>
      </c>
      <c r="E22" s="173" t="s">
        <v>1469</v>
      </c>
      <c r="F22" s="173" t="s">
        <v>1470</v>
      </c>
      <c r="G22" s="173" t="s">
        <v>1471</v>
      </c>
    </row>
    <row r="23" spans="1:7" ht="36">
      <c r="A23" s="88" t="s">
        <v>1472</v>
      </c>
      <c r="B23" s="85" t="s">
        <v>1473</v>
      </c>
      <c r="C23" s="85" t="s">
        <v>1474</v>
      </c>
      <c r="D23" s="85" t="s">
        <v>1475</v>
      </c>
      <c r="E23" s="85" t="s">
        <v>1476</v>
      </c>
      <c r="F23" s="85" t="s">
        <v>1477</v>
      </c>
      <c r="G23" s="85" t="s">
        <v>1478</v>
      </c>
    </row>
    <row r="25" spans="1:7">
      <c r="A25" s="355" t="s">
        <v>1479</v>
      </c>
      <c r="B25" s="355"/>
      <c r="C25" s="355"/>
      <c r="D25" s="355"/>
      <c r="E25" s="355"/>
      <c r="F25" s="355"/>
      <c r="G25" s="355"/>
    </row>
    <row r="26" spans="1:7">
      <c r="A26" s="315" t="s">
        <v>1509</v>
      </c>
      <c r="B26" s="315"/>
      <c r="C26" s="315"/>
      <c r="D26" s="315"/>
      <c r="E26" s="315"/>
      <c r="F26" s="315"/>
      <c r="G26" s="315"/>
    </row>
    <row r="27" spans="1:7">
      <c r="A27" s="315"/>
      <c r="B27" s="315"/>
      <c r="C27" s="315"/>
      <c r="D27" s="315"/>
      <c r="E27" s="315"/>
      <c r="F27" s="315"/>
      <c r="G27" s="315"/>
    </row>
    <row r="28" spans="1:7">
      <c r="A28" s="315"/>
      <c r="B28" s="315"/>
      <c r="C28" s="315"/>
      <c r="D28" s="315"/>
      <c r="E28" s="315"/>
      <c r="F28" s="315"/>
      <c r="G28" s="315"/>
    </row>
  </sheetData>
  <mergeCells count="8">
    <mergeCell ref="A25:G25"/>
    <mergeCell ref="A26:G28"/>
    <mergeCell ref="A1:G1"/>
    <mergeCell ref="A2:G2"/>
    <mergeCell ref="A4:G4"/>
    <mergeCell ref="A5:G6"/>
    <mergeCell ref="A8:G8"/>
    <mergeCell ref="A19:G19"/>
  </mergeCells>
  <pageMargins left="0.7" right="0.7" top="0.75" bottom="0.75" header="0.3" footer="0.3"/>
  <headerFooter>
    <oddFooter>&amp;L_x000D_&amp;1#&amp;"Aptos"&amp;10&amp;K000000 Confidential-Internal</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28334-8220-46CE-AAB0-28AD4797EDCA}">
  <dimension ref="A1:G28"/>
  <sheetViews>
    <sheetView topLeftCell="A22" workbookViewId="0">
      <selection activeCell="I11" sqref="I11:J11"/>
    </sheetView>
  </sheetViews>
  <sheetFormatPr defaultRowHeight="14.45"/>
  <cols>
    <col min="1" max="1" width="28.140625" customWidth="1"/>
    <col min="2" max="2" width="37.28515625" customWidth="1"/>
    <col min="3" max="3" width="24.5703125" customWidth="1"/>
    <col min="4" max="4" width="22.7109375" customWidth="1"/>
    <col min="5" max="7" width="24.5703125" customWidth="1"/>
  </cols>
  <sheetData>
    <row r="1" spans="1:7" ht="26.1">
      <c r="A1" s="312" t="s">
        <v>1510</v>
      </c>
      <c r="B1" s="312"/>
      <c r="C1" s="312"/>
      <c r="D1" s="312"/>
      <c r="E1" s="312"/>
      <c r="F1" s="312"/>
      <c r="G1" s="312"/>
    </row>
    <row r="2" spans="1:7">
      <c r="A2" s="319" t="s">
        <v>1409</v>
      </c>
      <c r="B2" s="319"/>
      <c r="C2" s="319"/>
      <c r="D2" s="319"/>
      <c r="E2" s="319"/>
      <c r="F2" s="319"/>
      <c r="G2" s="319"/>
    </row>
    <row r="4" spans="1:7">
      <c r="A4" s="355" t="s">
        <v>1410</v>
      </c>
      <c r="B4" s="355"/>
      <c r="C4" s="355"/>
      <c r="D4" s="355"/>
      <c r="E4" s="355"/>
      <c r="F4" s="355"/>
      <c r="G4" s="355"/>
    </row>
    <row r="5" spans="1:7">
      <c r="A5" s="313" t="s">
        <v>1511</v>
      </c>
      <c r="B5" s="313"/>
      <c r="C5" s="313"/>
      <c r="D5" s="313"/>
      <c r="E5" s="313"/>
      <c r="F5" s="313"/>
      <c r="G5" s="313"/>
    </row>
    <row r="6" spans="1:7">
      <c r="A6" s="313"/>
      <c r="B6" s="313"/>
      <c r="C6" s="313"/>
      <c r="D6" s="313"/>
      <c r="E6" s="313"/>
      <c r="F6" s="313"/>
      <c r="G6" s="313"/>
    </row>
    <row r="8" spans="1:7">
      <c r="A8" s="355" t="s">
        <v>1412</v>
      </c>
      <c r="B8" s="355"/>
      <c r="C8" s="355"/>
      <c r="D8" s="355"/>
      <c r="E8" s="355"/>
      <c r="F8" s="355"/>
      <c r="G8" s="355"/>
    </row>
    <row r="9" spans="1:7">
      <c r="A9" s="70" t="s">
        <v>143</v>
      </c>
      <c r="B9" s="70" t="s">
        <v>1413</v>
      </c>
      <c r="C9" s="70" t="s">
        <v>1414</v>
      </c>
      <c r="D9" s="70" t="s">
        <v>1255</v>
      </c>
      <c r="E9" s="70" t="s">
        <v>1415</v>
      </c>
      <c r="F9" s="70" t="s">
        <v>1416</v>
      </c>
      <c r="G9" s="70" t="s">
        <v>1417</v>
      </c>
    </row>
    <row r="10" spans="1:7" ht="24">
      <c r="A10" s="87" t="s">
        <v>1512</v>
      </c>
      <c r="B10" s="85" t="s">
        <v>1513</v>
      </c>
      <c r="C10" s="85" t="s">
        <v>447</v>
      </c>
      <c r="D10" s="85" t="s">
        <v>1514</v>
      </c>
      <c r="E10" s="85" t="s">
        <v>1433</v>
      </c>
      <c r="F10" s="85" t="s">
        <v>1512</v>
      </c>
      <c r="G10" s="148" t="s">
        <v>1428</v>
      </c>
    </row>
    <row r="11" spans="1:7" ht="24">
      <c r="A11" s="87" t="s">
        <v>1515</v>
      </c>
      <c r="B11" s="85" t="s">
        <v>1516</v>
      </c>
      <c r="C11" s="85" t="s">
        <v>1515</v>
      </c>
      <c r="D11" s="85" t="s">
        <v>1517</v>
      </c>
      <c r="E11" s="85" t="s">
        <v>1487</v>
      </c>
      <c r="F11" s="85" t="s">
        <v>1515</v>
      </c>
      <c r="G11" s="148" t="s">
        <v>1423</v>
      </c>
    </row>
    <row r="12" spans="1:7" ht="24">
      <c r="A12" s="87" t="s">
        <v>1518</v>
      </c>
      <c r="B12" s="85" t="s">
        <v>1519</v>
      </c>
      <c r="C12" s="85" t="s">
        <v>1520</v>
      </c>
      <c r="D12" s="85" t="s">
        <v>1521</v>
      </c>
      <c r="E12" s="85" t="s">
        <v>1422</v>
      </c>
      <c r="F12" s="85" t="s">
        <v>1518</v>
      </c>
      <c r="G12" s="148" t="s">
        <v>1428</v>
      </c>
    </row>
    <row r="13" spans="1:7" ht="24">
      <c r="A13" s="87" t="s">
        <v>1522</v>
      </c>
      <c r="B13" s="85" t="s">
        <v>1523</v>
      </c>
      <c r="C13" s="85" t="s">
        <v>1490</v>
      </c>
      <c r="D13" s="85" t="s">
        <v>1524</v>
      </c>
      <c r="E13" s="85" t="s">
        <v>1422</v>
      </c>
      <c r="F13" s="85" t="s">
        <v>1522</v>
      </c>
      <c r="G13" s="148" t="s">
        <v>1423</v>
      </c>
    </row>
    <row r="14" spans="1:7" ht="24">
      <c r="A14" s="87" t="s">
        <v>1525</v>
      </c>
      <c r="B14" s="85" t="s">
        <v>1450</v>
      </c>
      <c r="C14" s="85" t="s">
        <v>1526</v>
      </c>
      <c r="D14" s="85" t="s">
        <v>510</v>
      </c>
      <c r="E14" s="85" t="s">
        <v>1433</v>
      </c>
      <c r="F14" s="85" t="s">
        <v>1525</v>
      </c>
      <c r="G14" s="148" t="s">
        <v>1423</v>
      </c>
    </row>
    <row r="15" spans="1:7">
      <c r="A15" s="87"/>
      <c r="B15" s="85"/>
      <c r="C15" s="85"/>
      <c r="D15" s="85"/>
      <c r="E15" s="85"/>
      <c r="F15" s="85"/>
      <c r="G15" s="148"/>
    </row>
    <row r="16" spans="1:7">
      <c r="A16" s="87"/>
      <c r="B16" s="85"/>
      <c r="C16" s="85"/>
      <c r="D16" s="85"/>
      <c r="E16" s="85"/>
      <c r="F16" s="85"/>
      <c r="G16" s="148"/>
    </row>
    <row r="17" spans="1:7">
      <c r="A17" s="87"/>
      <c r="B17" s="85"/>
      <c r="C17" s="85"/>
      <c r="D17" s="85"/>
      <c r="E17" s="85"/>
      <c r="F17" s="85"/>
      <c r="G17" s="148"/>
    </row>
    <row r="19" spans="1:7">
      <c r="A19" s="355" t="s">
        <v>1452</v>
      </c>
      <c r="B19" s="355"/>
      <c r="C19" s="355"/>
      <c r="D19" s="355"/>
      <c r="E19" s="355"/>
      <c r="F19" s="355"/>
      <c r="G19" s="355"/>
    </row>
    <row r="20" spans="1:7">
      <c r="A20" s="70" t="s">
        <v>1453</v>
      </c>
      <c r="B20" s="70" t="s">
        <v>1454</v>
      </c>
      <c r="C20" s="70" t="s">
        <v>1455</v>
      </c>
      <c r="D20" s="70" t="s">
        <v>1456</v>
      </c>
      <c r="E20" s="70" t="s">
        <v>1457</v>
      </c>
      <c r="F20" s="70" t="s">
        <v>1458</v>
      </c>
      <c r="G20" s="70" t="s">
        <v>1459</v>
      </c>
    </row>
    <row r="21" spans="1:7" ht="36">
      <c r="A21" s="172" t="s">
        <v>1460</v>
      </c>
      <c r="B21" s="173" t="s">
        <v>1527</v>
      </c>
      <c r="C21" s="173" t="s">
        <v>1528</v>
      </c>
      <c r="D21" s="173" t="s">
        <v>1529</v>
      </c>
      <c r="E21" s="173" t="s">
        <v>1530</v>
      </c>
      <c r="F21" s="173" t="s">
        <v>1531</v>
      </c>
      <c r="G21" s="173" t="s">
        <v>1532</v>
      </c>
    </row>
    <row r="22" spans="1:7" ht="24">
      <c r="A22" s="172" t="s">
        <v>915</v>
      </c>
      <c r="B22" s="173" t="s">
        <v>1466</v>
      </c>
      <c r="C22" s="173" t="s">
        <v>1467</v>
      </c>
      <c r="D22" s="173" t="s">
        <v>1468</v>
      </c>
      <c r="E22" s="173" t="s">
        <v>1469</v>
      </c>
      <c r="F22" s="173" t="s">
        <v>1470</v>
      </c>
      <c r="G22" s="173" t="s">
        <v>1471</v>
      </c>
    </row>
    <row r="23" spans="1:7" ht="36">
      <c r="A23" s="88" t="s">
        <v>1472</v>
      </c>
      <c r="B23" s="85" t="s">
        <v>1473</v>
      </c>
      <c r="C23" s="85" t="s">
        <v>1474</v>
      </c>
      <c r="D23" s="85" t="s">
        <v>1475</v>
      </c>
      <c r="E23" s="85" t="s">
        <v>1476</v>
      </c>
      <c r="F23" s="85" t="s">
        <v>1477</v>
      </c>
      <c r="G23" s="85" t="s">
        <v>1478</v>
      </c>
    </row>
    <row r="25" spans="1:7">
      <c r="A25" s="355" t="s">
        <v>1479</v>
      </c>
      <c r="B25" s="355"/>
      <c r="C25" s="355"/>
      <c r="D25" s="355"/>
      <c r="E25" s="355"/>
      <c r="F25" s="355"/>
      <c r="G25" s="355"/>
    </row>
    <row r="26" spans="1:7">
      <c r="A26" s="315" t="s">
        <v>1533</v>
      </c>
      <c r="B26" s="315"/>
      <c r="C26" s="315"/>
      <c r="D26" s="315"/>
      <c r="E26" s="315"/>
      <c r="F26" s="315"/>
      <c r="G26" s="315"/>
    </row>
    <row r="27" spans="1:7">
      <c r="A27" s="315"/>
      <c r="B27" s="315"/>
      <c r="C27" s="315"/>
      <c r="D27" s="315"/>
      <c r="E27" s="315"/>
      <c r="F27" s="315"/>
      <c r="G27" s="315"/>
    </row>
    <row r="28" spans="1:7">
      <c r="A28" s="315"/>
      <c r="B28" s="315"/>
      <c r="C28" s="315"/>
      <c r="D28" s="315"/>
      <c r="E28" s="315"/>
      <c r="F28" s="315"/>
      <c r="G28" s="315"/>
    </row>
  </sheetData>
  <mergeCells count="8">
    <mergeCell ref="A25:G25"/>
    <mergeCell ref="A26:G28"/>
    <mergeCell ref="A1:G1"/>
    <mergeCell ref="A2:G2"/>
    <mergeCell ref="A4:G4"/>
    <mergeCell ref="A5:G6"/>
    <mergeCell ref="A8:G8"/>
    <mergeCell ref="A19:G19"/>
  </mergeCells>
  <pageMargins left="0.7" right="0.7" top="0.75" bottom="0.75" header="0.3" footer="0.3"/>
  <headerFooter>
    <oddFooter>&amp;L_x000D_&amp;1#&amp;"Aptos"&amp;10&amp;K000000 Confidential-Internal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3EE8C-774D-4F2F-805D-E96C4D2C3AC9}">
  <dimension ref="A1:G28"/>
  <sheetViews>
    <sheetView workbookViewId="0">
      <selection activeCell="I11" sqref="I11:J11"/>
    </sheetView>
  </sheetViews>
  <sheetFormatPr defaultRowHeight="14.45"/>
  <cols>
    <col min="1" max="1" width="28.140625" customWidth="1"/>
    <col min="2" max="2" width="37.28515625" customWidth="1"/>
    <col min="3" max="3" width="24.5703125" customWidth="1"/>
    <col min="4" max="4" width="22.7109375" customWidth="1"/>
    <col min="5" max="7" width="24.5703125" customWidth="1"/>
  </cols>
  <sheetData>
    <row r="1" spans="1:7" ht="26.1">
      <c r="A1" s="312" t="s">
        <v>1534</v>
      </c>
      <c r="B1" s="312"/>
      <c r="C1" s="312"/>
      <c r="D1" s="312"/>
      <c r="E1" s="312"/>
      <c r="F1" s="312"/>
      <c r="G1" s="312"/>
    </row>
    <row r="2" spans="1:7">
      <c r="A2" s="319" t="s">
        <v>1409</v>
      </c>
      <c r="B2" s="319"/>
      <c r="C2" s="319"/>
      <c r="D2" s="319"/>
      <c r="E2" s="319"/>
      <c r="F2" s="319"/>
      <c r="G2" s="319"/>
    </row>
    <row r="4" spans="1:7">
      <c r="A4" s="355" t="s">
        <v>1410</v>
      </c>
      <c r="B4" s="355"/>
      <c r="C4" s="355"/>
      <c r="D4" s="355"/>
      <c r="E4" s="355"/>
      <c r="F4" s="355"/>
      <c r="G4" s="355"/>
    </row>
    <row r="5" spans="1:7">
      <c r="A5" s="313" t="s">
        <v>1535</v>
      </c>
      <c r="B5" s="313"/>
      <c r="C5" s="313"/>
      <c r="D5" s="313"/>
      <c r="E5" s="313"/>
      <c r="F5" s="313"/>
      <c r="G5" s="313"/>
    </row>
    <row r="6" spans="1:7">
      <c r="A6" s="313"/>
      <c r="B6" s="313"/>
      <c r="C6" s="313"/>
      <c r="D6" s="313"/>
      <c r="E6" s="313"/>
      <c r="F6" s="313"/>
      <c r="G6" s="313"/>
    </row>
    <row r="8" spans="1:7">
      <c r="A8" s="355" t="s">
        <v>1412</v>
      </c>
      <c r="B8" s="355"/>
      <c r="C8" s="355"/>
      <c r="D8" s="355"/>
      <c r="E8" s="355"/>
      <c r="F8" s="355"/>
      <c r="G8" s="355"/>
    </row>
    <row r="9" spans="1:7">
      <c r="A9" s="70" t="s">
        <v>143</v>
      </c>
      <c r="B9" s="70" t="s">
        <v>1413</v>
      </c>
      <c r="C9" s="70" t="s">
        <v>1414</v>
      </c>
      <c r="D9" s="70" t="s">
        <v>1255</v>
      </c>
      <c r="E9" s="70" t="s">
        <v>1415</v>
      </c>
      <c r="F9" s="70" t="s">
        <v>1416</v>
      </c>
      <c r="G9" s="70" t="s">
        <v>1417</v>
      </c>
    </row>
    <row r="10" spans="1:7" ht="24">
      <c r="A10" s="87" t="s">
        <v>1536</v>
      </c>
      <c r="B10" s="85" t="s">
        <v>1537</v>
      </c>
      <c r="C10" s="85" t="s">
        <v>1420</v>
      </c>
      <c r="D10" s="85" t="s">
        <v>1538</v>
      </c>
      <c r="E10" s="85" t="s">
        <v>1422</v>
      </c>
      <c r="F10" s="85" t="s">
        <v>1536</v>
      </c>
      <c r="G10" s="148" t="s">
        <v>1423</v>
      </c>
    </row>
    <row r="11" spans="1:7" ht="24">
      <c r="A11" s="87" t="s">
        <v>1539</v>
      </c>
      <c r="B11" s="85" t="s">
        <v>1540</v>
      </c>
      <c r="C11" s="85" t="s">
        <v>1490</v>
      </c>
      <c r="D11" s="85" t="s">
        <v>1541</v>
      </c>
      <c r="E11" s="85" t="s">
        <v>1422</v>
      </c>
      <c r="F11" s="85" t="s">
        <v>1539</v>
      </c>
      <c r="G11" s="148" t="s">
        <v>1423</v>
      </c>
    </row>
    <row r="12" spans="1:7" ht="24">
      <c r="A12" s="87" t="s">
        <v>440</v>
      </c>
      <c r="B12" s="85" t="s">
        <v>1542</v>
      </c>
      <c r="C12" s="85" t="s">
        <v>440</v>
      </c>
      <c r="D12" s="85" t="s">
        <v>1543</v>
      </c>
      <c r="E12" s="85" t="s">
        <v>1422</v>
      </c>
      <c r="F12" s="85" t="s">
        <v>440</v>
      </c>
      <c r="G12" s="148" t="s">
        <v>1428</v>
      </c>
    </row>
    <row r="13" spans="1:7" ht="24">
      <c r="A13" s="87" t="s">
        <v>1544</v>
      </c>
      <c r="B13" s="85" t="s">
        <v>1545</v>
      </c>
      <c r="C13" s="85" t="s">
        <v>1443</v>
      </c>
      <c r="D13" s="85" t="s">
        <v>1546</v>
      </c>
      <c r="E13" s="85" t="s">
        <v>1433</v>
      </c>
      <c r="F13" s="85" t="s">
        <v>1544</v>
      </c>
      <c r="G13" s="148" t="s">
        <v>1423</v>
      </c>
    </row>
    <row r="14" spans="1:7" ht="24">
      <c r="A14" s="87" t="s">
        <v>1547</v>
      </c>
      <c r="B14" s="85" t="s">
        <v>1548</v>
      </c>
      <c r="C14" s="85" t="s">
        <v>485</v>
      </c>
      <c r="D14" s="85" t="s">
        <v>1549</v>
      </c>
      <c r="E14" s="85" t="s">
        <v>1487</v>
      </c>
      <c r="F14" s="85" t="s">
        <v>1547</v>
      </c>
      <c r="G14" s="148" t="s">
        <v>1423</v>
      </c>
    </row>
    <row r="15" spans="1:7">
      <c r="A15" s="87"/>
      <c r="B15" s="85"/>
      <c r="C15" s="85"/>
      <c r="D15" s="85"/>
      <c r="E15" s="85"/>
      <c r="F15" s="85"/>
      <c r="G15" s="148"/>
    </row>
    <row r="16" spans="1:7">
      <c r="A16" s="87"/>
      <c r="B16" s="85"/>
      <c r="C16" s="85"/>
      <c r="D16" s="85"/>
      <c r="E16" s="85"/>
      <c r="F16" s="85"/>
      <c r="G16" s="148"/>
    </row>
    <row r="17" spans="1:7">
      <c r="A17" s="87"/>
      <c r="B17" s="85"/>
      <c r="C17" s="85"/>
      <c r="D17" s="85"/>
      <c r="E17" s="85"/>
      <c r="F17" s="85"/>
      <c r="G17" s="148"/>
    </row>
    <row r="19" spans="1:7">
      <c r="A19" s="355" t="s">
        <v>1452</v>
      </c>
      <c r="B19" s="355"/>
      <c r="C19" s="355"/>
      <c r="D19" s="355"/>
      <c r="E19" s="355"/>
      <c r="F19" s="355"/>
      <c r="G19" s="355"/>
    </row>
    <row r="20" spans="1:7">
      <c r="A20" s="70" t="s">
        <v>1453</v>
      </c>
      <c r="B20" s="70" t="s">
        <v>1454</v>
      </c>
      <c r="C20" s="70" t="s">
        <v>1455</v>
      </c>
      <c r="D20" s="70" t="s">
        <v>1456</v>
      </c>
      <c r="E20" s="70" t="s">
        <v>1457</v>
      </c>
      <c r="F20" s="70" t="s">
        <v>1458</v>
      </c>
      <c r="G20" s="70" t="s">
        <v>1459</v>
      </c>
    </row>
    <row r="21" spans="1:7" ht="36">
      <c r="A21" s="172" t="s">
        <v>1460</v>
      </c>
      <c r="B21" s="173" t="s">
        <v>1550</v>
      </c>
      <c r="C21" s="173" t="s">
        <v>1551</v>
      </c>
      <c r="D21" s="173" t="s">
        <v>1552</v>
      </c>
      <c r="E21" s="173" t="s">
        <v>1553</v>
      </c>
      <c r="F21" s="173" t="s">
        <v>1554</v>
      </c>
      <c r="G21" s="173" t="s">
        <v>1555</v>
      </c>
    </row>
    <row r="22" spans="1:7" ht="24">
      <c r="A22" s="172" t="s">
        <v>915</v>
      </c>
      <c r="B22" s="173" t="s">
        <v>1466</v>
      </c>
      <c r="C22" s="173" t="s">
        <v>1467</v>
      </c>
      <c r="D22" s="173" t="s">
        <v>1468</v>
      </c>
      <c r="E22" s="173" t="s">
        <v>1469</v>
      </c>
      <c r="F22" s="173" t="s">
        <v>1470</v>
      </c>
      <c r="G22" s="173" t="s">
        <v>1471</v>
      </c>
    </row>
    <row r="23" spans="1:7" ht="36">
      <c r="A23" s="88" t="s">
        <v>1472</v>
      </c>
      <c r="B23" s="85" t="s">
        <v>1473</v>
      </c>
      <c r="C23" s="85" t="s">
        <v>1474</v>
      </c>
      <c r="D23" s="85" t="s">
        <v>1475</v>
      </c>
      <c r="E23" s="85" t="s">
        <v>1476</v>
      </c>
      <c r="F23" s="85" t="s">
        <v>1477</v>
      </c>
      <c r="G23" s="85" t="s">
        <v>1478</v>
      </c>
    </row>
    <row r="25" spans="1:7">
      <c r="A25" s="355" t="s">
        <v>1479</v>
      </c>
      <c r="B25" s="355"/>
      <c r="C25" s="355"/>
      <c r="D25" s="355"/>
      <c r="E25" s="355"/>
      <c r="F25" s="355"/>
      <c r="G25" s="355"/>
    </row>
    <row r="26" spans="1:7">
      <c r="A26" s="315" t="s">
        <v>1556</v>
      </c>
      <c r="B26" s="315"/>
      <c r="C26" s="315"/>
      <c r="D26" s="315"/>
      <c r="E26" s="315"/>
      <c r="F26" s="315"/>
      <c r="G26" s="315"/>
    </row>
    <row r="27" spans="1:7">
      <c r="A27" s="315"/>
      <c r="B27" s="315"/>
      <c r="C27" s="315"/>
      <c r="D27" s="315"/>
      <c r="E27" s="315"/>
      <c r="F27" s="315"/>
      <c r="G27" s="315"/>
    </row>
    <row r="28" spans="1:7">
      <c r="A28" s="315"/>
      <c r="B28" s="315"/>
      <c r="C28" s="315"/>
      <c r="D28" s="315"/>
      <c r="E28" s="315"/>
      <c r="F28" s="315"/>
      <c r="G28" s="315"/>
    </row>
  </sheetData>
  <mergeCells count="8">
    <mergeCell ref="A25:G25"/>
    <mergeCell ref="A26:G28"/>
    <mergeCell ref="A1:G1"/>
    <mergeCell ref="A2:G2"/>
    <mergeCell ref="A4:G4"/>
    <mergeCell ref="A5:G6"/>
    <mergeCell ref="A8:G8"/>
    <mergeCell ref="A19:G19"/>
  </mergeCells>
  <pageMargins left="0.7" right="0.7" top="0.75" bottom="0.75" header="0.3" footer="0.3"/>
  <headerFooter>
    <oddFooter>&amp;L_x000D_&amp;1#&amp;"Aptos"&amp;10&amp;K000000 Confidential-Internal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64776-C1B8-4259-8F51-E9EC2F02C467}">
  <dimension ref="A1:G28"/>
  <sheetViews>
    <sheetView workbookViewId="0">
      <selection activeCell="I11" sqref="I11:J11"/>
    </sheetView>
  </sheetViews>
  <sheetFormatPr defaultRowHeight="14.45"/>
  <cols>
    <col min="1" max="1" width="28.140625" customWidth="1"/>
    <col min="2" max="2" width="37.28515625" customWidth="1"/>
    <col min="3" max="3" width="24.5703125" customWidth="1"/>
    <col min="4" max="4" width="22.7109375" customWidth="1"/>
    <col min="5" max="7" width="24.5703125" customWidth="1"/>
  </cols>
  <sheetData>
    <row r="1" spans="1:7" ht="26.1">
      <c r="A1" s="356" t="s">
        <v>1557</v>
      </c>
      <c r="B1" s="356"/>
      <c r="C1" s="356"/>
      <c r="D1" s="356"/>
      <c r="E1" s="356"/>
      <c r="F1" s="356"/>
      <c r="G1" s="356"/>
    </row>
    <row r="2" spans="1:7">
      <c r="A2" s="357" t="s">
        <v>1558</v>
      </c>
      <c r="B2" s="357"/>
      <c r="C2" s="357"/>
      <c r="D2" s="357"/>
      <c r="E2" s="357"/>
      <c r="F2" s="357"/>
      <c r="G2" s="357"/>
    </row>
    <row r="4" spans="1:7">
      <c r="A4" s="355" t="s">
        <v>1410</v>
      </c>
      <c r="B4" s="355"/>
      <c r="C4" s="355"/>
      <c r="D4" s="355"/>
      <c r="E4" s="355"/>
      <c r="F4" s="355"/>
      <c r="G4" s="355"/>
    </row>
    <row r="5" spans="1:7">
      <c r="A5" s="320" t="s">
        <v>1559</v>
      </c>
      <c r="B5" s="320"/>
      <c r="C5" s="320"/>
      <c r="D5" s="320"/>
      <c r="E5" s="320"/>
      <c r="F5" s="320"/>
      <c r="G5" s="320"/>
    </row>
    <row r="6" spans="1:7">
      <c r="A6" s="320"/>
      <c r="B6" s="320"/>
      <c r="C6" s="320"/>
      <c r="D6" s="320"/>
      <c r="E6" s="320"/>
      <c r="F6" s="320"/>
      <c r="G6" s="320"/>
    </row>
    <row r="8" spans="1:7">
      <c r="A8" s="355" t="s">
        <v>1412</v>
      </c>
      <c r="B8" s="355"/>
      <c r="C8" s="355"/>
      <c r="D8" s="355"/>
      <c r="E8" s="355"/>
      <c r="F8" s="355"/>
      <c r="G8" s="355"/>
    </row>
    <row r="9" spans="1:7">
      <c r="A9" s="95" t="s">
        <v>143</v>
      </c>
      <c r="B9" s="95" t="s">
        <v>1413</v>
      </c>
      <c r="C9" s="95" t="s">
        <v>1414</v>
      </c>
      <c r="D9" s="95" t="s">
        <v>1255</v>
      </c>
      <c r="E9" s="95" t="s">
        <v>1415</v>
      </c>
      <c r="F9" s="95" t="s">
        <v>1416</v>
      </c>
      <c r="G9" s="95" t="s">
        <v>1417</v>
      </c>
    </row>
    <row r="10" spans="1:7" ht="24">
      <c r="A10" s="87" t="s">
        <v>1560</v>
      </c>
      <c r="B10" s="85" t="s">
        <v>1561</v>
      </c>
      <c r="C10" s="85" t="s">
        <v>1490</v>
      </c>
      <c r="D10" s="85" t="s">
        <v>1491</v>
      </c>
      <c r="E10" s="85" t="s">
        <v>1422</v>
      </c>
      <c r="F10" s="85" t="s">
        <v>1560</v>
      </c>
      <c r="G10" s="85" t="s">
        <v>1423</v>
      </c>
    </row>
    <row r="11" spans="1:7" ht="24">
      <c r="A11" s="87" t="s">
        <v>1562</v>
      </c>
      <c r="B11" s="85" t="s">
        <v>1563</v>
      </c>
      <c r="C11" s="85" t="s">
        <v>1564</v>
      </c>
      <c r="D11" s="85" t="s">
        <v>1565</v>
      </c>
      <c r="E11" s="85" t="s">
        <v>1422</v>
      </c>
      <c r="F11" s="85" t="s">
        <v>1562</v>
      </c>
      <c r="G11" s="85" t="s">
        <v>1423</v>
      </c>
    </row>
    <row r="12" spans="1:7" ht="24">
      <c r="A12" s="87" t="s">
        <v>1566</v>
      </c>
      <c r="B12" s="85" t="s">
        <v>1567</v>
      </c>
      <c r="C12" s="85" t="s">
        <v>1568</v>
      </c>
      <c r="D12" s="85" t="s">
        <v>1569</v>
      </c>
      <c r="E12" s="85" t="s">
        <v>1422</v>
      </c>
      <c r="F12" s="85" t="s">
        <v>1566</v>
      </c>
      <c r="G12" s="85" t="s">
        <v>1423</v>
      </c>
    </row>
    <row r="13" spans="1:7" ht="24">
      <c r="A13" s="87" t="s">
        <v>1570</v>
      </c>
      <c r="B13" s="85" t="s">
        <v>1571</v>
      </c>
      <c r="C13" s="85" t="s">
        <v>1498</v>
      </c>
      <c r="D13" s="85" t="s">
        <v>1499</v>
      </c>
      <c r="E13" s="85" t="s">
        <v>1422</v>
      </c>
      <c r="F13" s="85" t="s">
        <v>1570</v>
      </c>
      <c r="G13" s="85" t="s">
        <v>1423</v>
      </c>
    </row>
    <row r="14" spans="1:7" ht="24">
      <c r="A14" s="87" t="s">
        <v>1572</v>
      </c>
      <c r="B14" s="85" t="s">
        <v>1573</v>
      </c>
      <c r="C14" s="85" t="s">
        <v>1574</v>
      </c>
      <c r="D14" s="85" t="s">
        <v>1575</v>
      </c>
      <c r="E14" s="85" t="s">
        <v>1422</v>
      </c>
      <c r="F14" s="85" t="s">
        <v>1572</v>
      </c>
      <c r="G14" s="85" t="s">
        <v>1423</v>
      </c>
    </row>
    <row r="15" spans="1:7">
      <c r="A15" s="87"/>
      <c r="B15" s="85"/>
      <c r="C15" s="85"/>
      <c r="D15" s="85"/>
      <c r="E15" s="85"/>
      <c r="F15" s="85"/>
      <c r="G15" s="85"/>
    </row>
    <row r="16" spans="1:7">
      <c r="A16" s="87"/>
      <c r="B16" s="85"/>
      <c r="C16" s="85"/>
      <c r="D16" s="85"/>
      <c r="E16" s="85"/>
      <c r="F16" s="85"/>
      <c r="G16" s="85"/>
    </row>
    <row r="17" spans="1:7">
      <c r="A17" s="87"/>
      <c r="B17" s="85"/>
      <c r="C17" s="85"/>
      <c r="D17" s="85"/>
      <c r="E17" s="85"/>
      <c r="F17" s="85"/>
      <c r="G17" s="85"/>
    </row>
    <row r="19" spans="1:7">
      <c r="A19" s="355" t="s">
        <v>1452</v>
      </c>
      <c r="B19" s="355"/>
      <c r="C19" s="355"/>
      <c r="D19" s="355"/>
      <c r="E19" s="355"/>
      <c r="F19" s="355"/>
      <c r="G19" s="355"/>
    </row>
    <row r="20" spans="1:7">
      <c r="A20" s="95" t="s">
        <v>1453</v>
      </c>
      <c r="B20" s="95" t="s">
        <v>1454</v>
      </c>
      <c r="C20" s="95" t="s">
        <v>1455</v>
      </c>
      <c r="D20" s="95" t="s">
        <v>1456</v>
      </c>
      <c r="E20" s="95" t="s">
        <v>1457</v>
      </c>
      <c r="F20" s="95" t="s">
        <v>1458</v>
      </c>
      <c r="G20" s="95" t="s">
        <v>1459</v>
      </c>
    </row>
    <row r="21" spans="1:7" ht="24">
      <c r="A21" s="88" t="s">
        <v>1460</v>
      </c>
      <c r="B21" s="85" t="s">
        <v>1576</v>
      </c>
      <c r="C21" s="85" t="s">
        <v>1577</v>
      </c>
      <c r="D21" s="85" t="s">
        <v>1578</v>
      </c>
      <c r="E21" s="85" t="s">
        <v>1579</v>
      </c>
      <c r="F21" s="85" t="s">
        <v>1580</v>
      </c>
      <c r="G21" s="85" t="s">
        <v>1581</v>
      </c>
    </row>
    <row r="22" spans="1:7" ht="24">
      <c r="A22" s="88" t="s">
        <v>915</v>
      </c>
      <c r="B22" s="85" t="s">
        <v>1582</v>
      </c>
      <c r="C22" s="85" t="s">
        <v>1583</v>
      </c>
      <c r="D22" s="85" t="s">
        <v>1468</v>
      </c>
      <c r="E22" s="85" t="s">
        <v>1584</v>
      </c>
      <c r="F22" s="85" t="s">
        <v>1470</v>
      </c>
      <c r="G22" s="85" t="s">
        <v>1585</v>
      </c>
    </row>
    <row r="23" spans="1:7" ht="24">
      <c r="A23" s="88" t="s">
        <v>1472</v>
      </c>
      <c r="B23" s="85" t="s">
        <v>1586</v>
      </c>
      <c r="C23" s="85" t="s">
        <v>1587</v>
      </c>
      <c r="D23" s="85" t="s">
        <v>1588</v>
      </c>
      <c r="E23" s="85" t="s">
        <v>1589</v>
      </c>
      <c r="F23" s="85" t="s">
        <v>1590</v>
      </c>
      <c r="G23" s="85" t="s">
        <v>1591</v>
      </c>
    </row>
    <row r="25" spans="1:7">
      <c r="A25" s="355" t="s">
        <v>1479</v>
      </c>
      <c r="B25" s="355"/>
      <c r="C25" s="355"/>
      <c r="D25" s="355"/>
      <c r="E25" s="355"/>
      <c r="F25" s="355"/>
      <c r="G25" s="355"/>
    </row>
    <row r="26" spans="1:7">
      <c r="A26" s="317" t="s">
        <v>1592</v>
      </c>
      <c r="B26" s="317"/>
      <c r="C26" s="317"/>
      <c r="D26" s="317"/>
      <c r="E26" s="317"/>
      <c r="F26" s="317"/>
      <c r="G26" s="317"/>
    </row>
    <row r="27" spans="1:7">
      <c r="A27" s="317"/>
      <c r="B27" s="317"/>
      <c r="C27" s="317"/>
      <c r="D27" s="317"/>
      <c r="E27" s="317"/>
      <c r="F27" s="317"/>
      <c r="G27" s="317"/>
    </row>
    <row r="28" spans="1:7">
      <c r="A28" s="317"/>
      <c r="B28" s="317"/>
      <c r="C28" s="317"/>
      <c r="D28" s="317"/>
      <c r="E28" s="317"/>
      <c r="F28" s="317"/>
      <c r="G28" s="317"/>
    </row>
  </sheetData>
  <mergeCells count="8">
    <mergeCell ref="A25:G25"/>
    <mergeCell ref="A26:G28"/>
    <mergeCell ref="A1:G1"/>
    <mergeCell ref="A2:G2"/>
    <mergeCell ref="A4:G4"/>
    <mergeCell ref="A5:G6"/>
    <mergeCell ref="A8:G8"/>
    <mergeCell ref="A19:G19"/>
  </mergeCells>
  <pageMargins left="0.7" right="0.7" top="0.75" bottom="0.75" header="0.3" footer="0.3"/>
  <headerFooter>
    <oddFooter>&amp;L_x000D_&amp;1#&amp;"Aptos"&amp;10&amp;K000000 Confidential-Internal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0BA28-7CB9-4B86-89F5-B7C9C5D591F1}">
  <dimension ref="A1:G28"/>
  <sheetViews>
    <sheetView workbookViewId="0">
      <selection activeCell="I11" sqref="I11:J11"/>
    </sheetView>
  </sheetViews>
  <sheetFormatPr defaultRowHeight="14.45"/>
  <cols>
    <col min="1" max="1" width="28.140625" customWidth="1"/>
    <col min="2" max="2" width="37.28515625" customWidth="1"/>
    <col min="3" max="3" width="24.5703125" customWidth="1"/>
    <col min="4" max="4" width="22.7109375" customWidth="1"/>
    <col min="5" max="7" width="24.5703125" customWidth="1"/>
  </cols>
  <sheetData>
    <row r="1" spans="1:7" ht="26.1">
      <c r="A1" s="356" t="s">
        <v>1593</v>
      </c>
      <c r="B1" s="356"/>
      <c r="C1" s="356"/>
      <c r="D1" s="356"/>
      <c r="E1" s="356"/>
      <c r="F1" s="356"/>
      <c r="G1" s="356"/>
    </row>
    <row r="2" spans="1:7">
      <c r="A2" s="357" t="s">
        <v>1558</v>
      </c>
      <c r="B2" s="357"/>
      <c r="C2" s="357"/>
      <c r="D2" s="357"/>
      <c r="E2" s="357"/>
      <c r="F2" s="357"/>
      <c r="G2" s="357"/>
    </row>
    <row r="4" spans="1:7">
      <c r="A4" s="355" t="s">
        <v>1410</v>
      </c>
      <c r="B4" s="355"/>
      <c r="C4" s="355"/>
      <c r="D4" s="355"/>
      <c r="E4" s="355"/>
      <c r="F4" s="355"/>
      <c r="G4" s="355"/>
    </row>
    <row r="5" spans="1:7">
      <c r="A5" s="320" t="s">
        <v>1594</v>
      </c>
      <c r="B5" s="320"/>
      <c r="C5" s="320"/>
      <c r="D5" s="320"/>
      <c r="E5" s="320"/>
      <c r="F5" s="320"/>
      <c r="G5" s="320"/>
    </row>
    <row r="6" spans="1:7">
      <c r="A6" s="320"/>
      <c r="B6" s="320"/>
      <c r="C6" s="320"/>
      <c r="D6" s="320"/>
      <c r="E6" s="320"/>
      <c r="F6" s="320"/>
      <c r="G6" s="320"/>
    </row>
    <row r="8" spans="1:7">
      <c r="A8" s="355" t="s">
        <v>1412</v>
      </c>
      <c r="B8" s="355"/>
      <c r="C8" s="355"/>
      <c r="D8" s="355"/>
      <c r="E8" s="355"/>
      <c r="F8" s="355"/>
      <c r="G8" s="355"/>
    </row>
    <row r="9" spans="1:7">
      <c r="A9" s="95" t="s">
        <v>143</v>
      </c>
      <c r="B9" s="95" t="s">
        <v>1413</v>
      </c>
      <c r="C9" s="95" t="s">
        <v>1414</v>
      </c>
      <c r="D9" s="95" t="s">
        <v>1255</v>
      </c>
      <c r="E9" s="95" t="s">
        <v>1415</v>
      </c>
      <c r="F9" s="95" t="s">
        <v>1416</v>
      </c>
      <c r="G9" s="95" t="s">
        <v>1417</v>
      </c>
    </row>
    <row r="10" spans="1:7" ht="24">
      <c r="A10" s="87" t="s">
        <v>1595</v>
      </c>
      <c r="B10" s="85" t="s">
        <v>1596</v>
      </c>
      <c r="C10" s="85" t="s">
        <v>1597</v>
      </c>
      <c r="D10" s="85" t="s">
        <v>1598</v>
      </c>
      <c r="E10" s="85" t="s">
        <v>1422</v>
      </c>
      <c r="F10" s="85" t="s">
        <v>1595</v>
      </c>
      <c r="G10" s="85" t="s">
        <v>1423</v>
      </c>
    </row>
    <row r="11" spans="1:7" ht="24">
      <c r="A11" s="87" t="s">
        <v>1599</v>
      </c>
      <c r="B11" s="85" t="s">
        <v>1600</v>
      </c>
      <c r="C11" s="85" t="s">
        <v>1515</v>
      </c>
      <c r="D11" s="85" t="s">
        <v>1601</v>
      </c>
      <c r="E11" s="85" t="s">
        <v>1422</v>
      </c>
      <c r="F11" s="85" t="s">
        <v>1599</v>
      </c>
      <c r="G11" s="85" t="s">
        <v>1423</v>
      </c>
    </row>
    <row r="12" spans="1:7" ht="24">
      <c r="A12" s="87" t="s">
        <v>1602</v>
      </c>
      <c r="B12" s="85" t="s">
        <v>1603</v>
      </c>
      <c r="C12" s="85" t="s">
        <v>447</v>
      </c>
      <c r="D12" s="85" t="s">
        <v>1514</v>
      </c>
      <c r="E12" s="85" t="s">
        <v>1422</v>
      </c>
      <c r="F12" s="85" t="s">
        <v>1602</v>
      </c>
      <c r="G12" s="85" t="s">
        <v>1423</v>
      </c>
    </row>
    <row r="13" spans="1:7" ht="24">
      <c r="A13" s="87" t="s">
        <v>1604</v>
      </c>
      <c r="B13" s="85" t="s">
        <v>1605</v>
      </c>
      <c r="C13" s="85" t="s">
        <v>1490</v>
      </c>
      <c r="D13" s="85" t="s">
        <v>1502</v>
      </c>
      <c r="E13" s="85" t="s">
        <v>1422</v>
      </c>
      <c r="F13" s="85" t="s">
        <v>1604</v>
      </c>
      <c r="G13" s="85" t="s">
        <v>1428</v>
      </c>
    </row>
    <row r="14" spans="1:7">
      <c r="A14" s="87"/>
      <c r="B14" s="85"/>
      <c r="C14" s="85"/>
      <c r="D14" s="85"/>
      <c r="E14" s="85"/>
      <c r="F14" s="85"/>
      <c r="G14" s="85"/>
    </row>
    <row r="15" spans="1:7">
      <c r="A15" s="87"/>
      <c r="B15" s="85"/>
      <c r="C15" s="85"/>
      <c r="D15" s="85"/>
      <c r="E15" s="85"/>
      <c r="F15" s="85"/>
      <c r="G15" s="85"/>
    </row>
    <row r="16" spans="1:7">
      <c r="A16" s="87"/>
      <c r="B16" s="85"/>
      <c r="C16" s="85"/>
      <c r="D16" s="85"/>
      <c r="E16" s="85"/>
      <c r="F16" s="85"/>
      <c r="G16" s="85"/>
    </row>
    <row r="17" spans="1:7">
      <c r="A17" s="87"/>
      <c r="B17" s="85"/>
      <c r="C17" s="85"/>
      <c r="D17" s="85"/>
      <c r="E17" s="85"/>
      <c r="F17" s="85"/>
      <c r="G17" s="85"/>
    </row>
    <row r="19" spans="1:7">
      <c r="A19" s="355" t="s">
        <v>1452</v>
      </c>
      <c r="B19" s="355"/>
      <c r="C19" s="355"/>
      <c r="D19" s="355"/>
      <c r="E19" s="355"/>
      <c r="F19" s="355"/>
      <c r="G19" s="355"/>
    </row>
    <row r="20" spans="1:7">
      <c r="A20" s="95" t="s">
        <v>1453</v>
      </c>
      <c r="B20" s="95" t="s">
        <v>1454</v>
      </c>
      <c r="C20" s="95" t="s">
        <v>1455</v>
      </c>
      <c r="D20" s="95" t="s">
        <v>1456</v>
      </c>
      <c r="E20" s="95" t="s">
        <v>1457</v>
      </c>
      <c r="F20" s="95" t="s">
        <v>1458</v>
      </c>
      <c r="G20" s="95" t="s">
        <v>1459</v>
      </c>
    </row>
    <row r="21" spans="1:7" ht="24">
      <c r="A21" s="88" t="s">
        <v>1460</v>
      </c>
      <c r="B21" s="85" t="s">
        <v>1606</v>
      </c>
      <c r="C21" s="85" t="s">
        <v>1607</v>
      </c>
      <c r="D21" s="85" t="s">
        <v>1608</v>
      </c>
      <c r="E21" s="85" t="s">
        <v>1609</v>
      </c>
      <c r="F21" s="85" t="s">
        <v>1610</v>
      </c>
      <c r="G21" s="85" t="s">
        <v>1611</v>
      </c>
    </row>
    <row r="22" spans="1:7" ht="24">
      <c r="A22" s="88" t="s">
        <v>915</v>
      </c>
      <c r="B22" s="85" t="s">
        <v>1582</v>
      </c>
      <c r="C22" s="85" t="s">
        <v>1583</v>
      </c>
      <c r="D22" s="85" t="s">
        <v>1468</v>
      </c>
      <c r="E22" s="85" t="s">
        <v>1584</v>
      </c>
      <c r="F22" s="85" t="s">
        <v>1470</v>
      </c>
      <c r="G22" s="85" t="s">
        <v>1585</v>
      </c>
    </row>
    <row r="23" spans="1:7" ht="24">
      <c r="A23" s="88" t="s">
        <v>1472</v>
      </c>
      <c r="B23" s="85" t="s">
        <v>1586</v>
      </c>
      <c r="C23" s="85" t="s">
        <v>1587</v>
      </c>
      <c r="D23" s="85" t="s">
        <v>1588</v>
      </c>
      <c r="E23" s="85" t="s">
        <v>1589</v>
      </c>
      <c r="F23" s="85" t="s">
        <v>1590</v>
      </c>
      <c r="G23" s="85" t="s">
        <v>1591</v>
      </c>
    </row>
    <row r="25" spans="1:7">
      <c r="A25" s="355" t="s">
        <v>1479</v>
      </c>
      <c r="B25" s="355"/>
      <c r="C25" s="355"/>
      <c r="D25" s="355"/>
      <c r="E25" s="355"/>
      <c r="F25" s="355"/>
      <c r="G25" s="355"/>
    </row>
    <row r="26" spans="1:7">
      <c r="A26" s="317" t="s">
        <v>1612</v>
      </c>
      <c r="B26" s="317"/>
      <c r="C26" s="317"/>
      <c r="D26" s="317"/>
      <c r="E26" s="317"/>
      <c r="F26" s="317"/>
      <c r="G26" s="317"/>
    </row>
    <row r="27" spans="1:7">
      <c r="A27" s="317"/>
      <c r="B27" s="317"/>
      <c r="C27" s="317"/>
      <c r="D27" s="317"/>
      <c r="E27" s="317"/>
      <c r="F27" s="317"/>
      <c r="G27" s="317"/>
    </row>
    <row r="28" spans="1:7">
      <c r="A28" s="317"/>
      <c r="B28" s="317"/>
      <c r="C28" s="317"/>
      <c r="D28" s="317"/>
      <c r="E28" s="317"/>
      <c r="F28" s="317"/>
      <c r="G28" s="317"/>
    </row>
  </sheetData>
  <mergeCells count="8">
    <mergeCell ref="A25:G25"/>
    <mergeCell ref="A26:G28"/>
    <mergeCell ref="A1:G1"/>
    <mergeCell ref="A2:G2"/>
    <mergeCell ref="A4:G4"/>
    <mergeCell ref="A5:G6"/>
    <mergeCell ref="A8:G8"/>
    <mergeCell ref="A19:G19"/>
  </mergeCells>
  <pageMargins left="0.7" right="0.7" top="0.75" bottom="0.75" header="0.3" footer="0.3"/>
  <headerFooter>
    <oddFooter>&amp;L_x000D_&amp;1#&amp;"Aptos"&amp;10&amp;K000000 Confidential-Internal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220D0-DE15-4D0B-82C7-3F57D365CAC9}">
  <dimension ref="A1:G28"/>
  <sheetViews>
    <sheetView topLeftCell="A16" workbookViewId="0">
      <selection activeCell="I11" sqref="I11:J11"/>
    </sheetView>
  </sheetViews>
  <sheetFormatPr defaultRowHeight="14.45"/>
  <cols>
    <col min="1" max="1" width="28.140625" customWidth="1"/>
    <col min="2" max="2" width="37.28515625" customWidth="1"/>
    <col min="3" max="3" width="24.5703125" customWidth="1"/>
    <col min="4" max="4" width="22.7109375" customWidth="1"/>
    <col min="5" max="7" width="24.5703125" customWidth="1"/>
  </cols>
  <sheetData>
    <row r="1" spans="1:7" ht="26.1">
      <c r="A1" s="356" t="s">
        <v>1613</v>
      </c>
      <c r="B1" s="356"/>
      <c r="C1" s="356"/>
      <c r="D1" s="356"/>
      <c r="E1" s="356"/>
      <c r="F1" s="356"/>
      <c r="G1" s="356"/>
    </row>
    <row r="2" spans="1:7">
      <c r="A2" s="357" t="s">
        <v>1558</v>
      </c>
      <c r="B2" s="357"/>
      <c r="C2" s="357"/>
      <c r="D2" s="357"/>
      <c r="E2" s="357"/>
      <c r="F2" s="357"/>
      <c r="G2" s="357"/>
    </row>
    <row r="4" spans="1:7">
      <c r="A4" s="355" t="s">
        <v>1410</v>
      </c>
      <c r="B4" s="355"/>
      <c r="C4" s="355"/>
      <c r="D4" s="355"/>
      <c r="E4" s="355"/>
      <c r="F4" s="355"/>
      <c r="G4" s="355"/>
    </row>
    <row r="5" spans="1:7">
      <c r="A5" s="320" t="s">
        <v>1614</v>
      </c>
      <c r="B5" s="320"/>
      <c r="C5" s="320"/>
      <c r="D5" s="320"/>
      <c r="E5" s="320"/>
      <c r="F5" s="320"/>
      <c r="G5" s="320"/>
    </row>
    <row r="6" spans="1:7">
      <c r="A6" s="320"/>
      <c r="B6" s="320"/>
      <c r="C6" s="320"/>
      <c r="D6" s="320"/>
      <c r="E6" s="320"/>
      <c r="F6" s="320"/>
      <c r="G6" s="320"/>
    </row>
    <row r="8" spans="1:7">
      <c r="A8" s="355" t="s">
        <v>1412</v>
      </c>
      <c r="B8" s="355"/>
      <c r="C8" s="355"/>
      <c r="D8" s="355"/>
      <c r="E8" s="355"/>
      <c r="F8" s="355"/>
      <c r="G8" s="355"/>
    </row>
    <row r="9" spans="1:7">
      <c r="A9" s="95" t="s">
        <v>143</v>
      </c>
      <c r="B9" s="95" t="s">
        <v>1413</v>
      </c>
      <c r="C9" s="95" t="s">
        <v>1414</v>
      </c>
      <c r="D9" s="95" t="s">
        <v>1255</v>
      </c>
      <c r="E9" s="95" t="s">
        <v>1415</v>
      </c>
      <c r="F9" s="95" t="s">
        <v>1416</v>
      </c>
      <c r="G9" s="95" t="s">
        <v>1417</v>
      </c>
    </row>
    <row r="10" spans="1:7" ht="24">
      <c r="A10" s="87" t="s">
        <v>1615</v>
      </c>
      <c r="B10" s="85" t="s">
        <v>1616</v>
      </c>
      <c r="C10" s="85" t="s">
        <v>1617</v>
      </c>
      <c r="D10" s="85" t="s">
        <v>1618</v>
      </c>
      <c r="E10" s="85" t="s">
        <v>1422</v>
      </c>
      <c r="F10" s="85" t="s">
        <v>1615</v>
      </c>
      <c r="G10" s="85" t="s">
        <v>1423</v>
      </c>
    </row>
    <row r="11" spans="1:7" ht="24">
      <c r="A11" s="87" t="s">
        <v>1619</v>
      </c>
      <c r="B11" s="85" t="s">
        <v>1620</v>
      </c>
      <c r="C11" s="85" t="s">
        <v>1443</v>
      </c>
      <c r="D11" s="85" t="s">
        <v>1432</v>
      </c>
      <c r="E11" s="85" t="s">
        <v>1422</v>
      </c>
      <c r="F11" s="85" t="s">
        <v>1619</v>
      </c>
      <c r="G11" s="85" t="s">
        <v>1423</v>
      </c>
    </row>
    <row r="12" spans="1:7" ht="24">
      <c r="A12" s="87" t="s">
        <v>1621</v>
      </c>
      <c r="B12" s="85" t="s">
        <v>1622</v>
      </c>
      <c r="C12" s="85" t="s">
        <v>659</v>
      </c>
      <c r="D12" s="85" t="s">
        <v>1623</v>
      </c>
      <c r="E12" s="85" t="s">
        <v>1422</v>
      </c>
      <c r="F12" s="85" t="s">
        <v>1621</v>
      </c>
      <c r="G12" s="85" t="s">
        <v>1428</v>
      </c>
    </row>
    <row r="13" spans="1:7" ht="24">
      <c r="A13" s="87" t="s">
        <v>1624</v>
      </c>
      <c r="B13" s="85" t="s">
        <v>1625</v>
      </c>
      <c r="C13" s="85" t="s">
        <v>1626</v>
      </c>
      <c r="D13" s="85" t="s">
        <v>1627</v>
      </c>
      <c r="E13" s="85" t="s">
        <v>1422</v>
      </c>
      <c r="F13" s="85" t="s">
        <v>1624</v>
      </c>
      <c r="G13" s="85" t="s">
        <v>1423</v>
      </c>
    </row>
    <row r="14" spans="1:7" ht="24">
      <c r="A14" s="87" t="s">
        <v>1628</v>
      </c>
      <c r="B14" s="85" t="s">
        <v>1629</v>
      </c>
      <c r="C14" s="85" t="s">
        <v>1630</v>
      </c>
      <c r="D14" s="85" t="s">
        <v>1444</v>
      </c>
      <c r="E14" s="85" t="s">
        <v>1422</v>
      </c>
      <c r="F14" s="85" t="s">
        <v>1628</v>
      </c>
      <c r="G14" s="85" t="s">
        <v>1423</v>
      </c>
    </row>
    <row r="15" spans="1:7">
      <c r="A15" s="87"/>
      <c r="B15" s="85"/>
      <c r="C15" s="85"/>
      <c r="D15" s="85"/>
      <c r="E15" s="85"/>
      <c r="F15" s="85"/>
      <c r="G15" s="85"/>
    </row>
    <row r="16" spans="1:7">
      <c r="A16" s="87"/>
      <c r="B16" s="85"/>
      <c r="C16" s="85"/>
      <c r="D16" s="85"/>
      <c r="E16" s="85"/>
      <c r="F16" s="85"/>
      <c r="G16" s="85"/>
    </row>
    <row r="17" spans="1:7">
      <c r="A17" s="87"/>
      <c r="B17" s="85"/>
      <c r="C17" s="85"/>
      <c r="D17" s="85"/>
      <c r="E17" s="85"/>
      <c r="F17" s="85"/>
      <c r="G17" s="85"/>
    </row>
    <row r="19" spans="1:7">
      <c r="A19" s="355" t="s">
        <v>1452</v>
      </c>
      <c r="B19" s="355"/>
      <c r="C19" s="355"/>
      <c r="D19" s="355"/>
      <c r="E19" s="355"/>
      <c r="F19" s="355"/>
      <c r="G19" s="355"/>
    </row>
    <row r="20" spans="1:7">
      <c r="A20" s="95" t="s">
        <v>1453</v>
      </c>
      <c r="B20" s="95" t="s">
        <v>1454</v>
      </c>
      <c r="C20" s="95" t="s">
        <v>1455</v>
      </c>
      <c r="D20" s="95" t="s">
        <v>1456</v>
      </c>
      <c r="E20" s="95" t="s">
        <v>1457</v>
      </c>
      <c r="F20" s="95" t="s">
        <v>1458</v>
      </c>
      <c r="G20" s="95" t="s">
        <v>1459</v>
      </c>
    </row>
    <row r="21" spans="1:7" ht="36">
      <c r="A21" s="88" t="s">
        <v>1460</v>
      </c>
      <c r="B21" s="85" t="s">
        <v>1631</v>
      </c>
      <c r="C21" s="85" t="s">
        <v>1632</v>
      </c>
      <c r="D21" s="85" t="s">
        <v>1633</v>
      </c>
      <c r="E21" s="85" t="s">
        <v>1634</v>
      </c>
      <c r="F21" s="85" t="s">
        <v>1391</v>
      </c>
      <c r="G21" s="85" t="s">
        <v>1635</v>
      </c>
    </row>
    <row r="22" spans="1:7" ht="24">
      <c r="A22" s="88" t="s">
        <v>915</v>
      </c>
      <c r="B22" s="85" t="s">
        <v>1582</v>
      </c>
      <c r="C22" s="85" t="s">
        <v>1583</v>
      </c>
      <c r="D22" s="85" t="s">
        <v>1468</v>
      </c>
      <c r="E22" s="85" t="s">
        <v>1584</v>
      </c>
      <c r="F22" s="85" t="s">
        <v>1470</v>
      </c>
      <c r="G22" s="85" t="s">
        <v>1585</v>
      </c>
    </row>
    <row r="23" spans="1:7" ht="24">
      <c r="A23" s="88" t="s">
        <v>1472</v>
      </c>
      <c r="B23" s="85" t="s">
        <v>1586</v>
      </c>
      <c r="C23" s="85" t="s">
        <v>1587</v>
      </c>
      <c r="D23" s="85" t="s">
        <v>1588</v>
      </c>
      <c r="E23" s="85" t="s">
        <v>1589</v>
      </c>
      <c r="F23" s="85" t="s">
        <v>1590</v>
      </c>
      <c r="G23" s="85" t="s">
        <v>1591</v>
      </c>
    </row>
    <row r="25" spans="1:7">
      <c r="A25" s="355" t="s">
        <v>1479</v>
      </c>
      <c r="B25" s="355"/>
      <c r="C25" s="355"/>
      <c r="D25" s="355"/>
      <c r="E25" s="355"/>
      <c r="F25" s="355"/>
      <c r="G25" s="355"/>
    </row>
    <row r="26" spans="1:7">
      <c r="A26" s="317" t="s">
        <v>1636</v>
      </c>
      <c r="B26" s="317"/>
      <c r="C26" s="317"/>
      <c r="D26" s="317"/>
      <c r="E26" s="317"/>
      <c r="F26" s="317"/>
      <c r="G26" s="317"/>
    </row>
    <row r="27" spans="1:7">
      <c r="A27" s="317"/>
      <c r="B27" s="317"/>
      <c r="C27" s="317"/>
      <c r="D27" s="317"/>
      <c r="E27" s="317"/>
      <c r="F27" s="317"/>
      <c r="G27" s="317"/>
    </row>
    <row r="28" spans="1:7">
      <c r="A28" s="317"/>
      <c r="B28" s="317"/>
      <c r="C28" s="317"/>
      <c r="D28" s="317"/>
      <c r="E28" s="317"/>
      <c r="F28" s="317"/>
      <c r="G28" s="317"/>
    </row>
  </sheetData>
  <mergeCells count="8">
    <mergeCell ref="A25:G25"/>
    <mergeCell ref="A26:G28"/>
    <mergeCell ref="A1:G1"/>
    <mergeCell ref="A2:G2"/>
    <mergeCell ref="A4:G4"/>
    <mergeCell ref="A5:G6"/>
    <mergeCell ref="A8:G8"/>
    <mergeCell ref="A19:G19"/>
  </mergeCells>
  <pageMargins left="0.7" right="0.7" top="0.75" bottom="0.75" header="0.3" footer="0.3"/>
  <headerFooter>
    <oddFooter>&amp;L_x000D_&amp;1#&amp;"Aptos"&amp;10&amp;K000000 Confidential-Internal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F2C68-CC07-4FD1-A4E1-3583EBA0DE8A}">
  <dimension ref="A1:G28"/>
  <sheetViews>
    <sheetView workbookViewId="0">
      <selection activeCell="I11" sqref="I11:J11"/>
    </sheetView>
  </sheetViews>
  <sheetFormatPr defaultRowHeight="14.45"/>
  <cols>
    <col min="1" max="1" width="28.140625" customWidth="1"/>
    <col min="2" max="2" width="37.28515625" customWidth="1"/>
    <col min="3" max="3" width="24.5703125" customWidth="1"/>
    <col min="4" max="4" width="22.7109375" customWidth="1"/>
    <col min="5" max="7" width="24.5703125" customWidth="1"/>
  </cols>
  <sheetData>
    <row r="1" spans="1:7" ht="26.1">
      <c r="A1" s="312" t="s">
        <v>1637</v>
      </c>
      <c r="B1" s="312"/>
      <c r="C1" s="312"/>
      <c r="D1" s="312"/>
      <c r="E1" s="312"/>
      <c r="F1" s="312"/>
      <c r="G1" s="312"/>
    </row>
    <row r="2" spans="1:7">
      <c r="A2" s="319" t="s">
        <v>1409</v>
      </c>
      <c r="B2" s="319"/>
      <c r="C2" s="319"/>
      <c r="D2" s="319"/>
      <c r="E2" s="319"/>
      <c r="F2" s="319"/>
      <c r="G2" s="319"/>
    </row>
    <row r="4" spans="1:7">
      <c r="A4" s="355" t="s">
        <v>1410</v>
      </c>
      <c r="B4" s="355"/>
      <c r="C4" s="355"/>
      <c r="D4" s="355"/>
      <c r="E4" s="355"/>
      <c r="F4" s="355"/>
      <c r="G4" s="355"/>
    </row>
    <row r="5" spans="1:7">
      <c r="A5" s="320" t="s">
        <v>1638</v>
      </c>
      <c r="B5" s="320"/>
      <c r="C5" s="320"/>
      <c r="D5" s="320"/>
      <c r="E5" s="320"/>
      <c r="F5" s="320"/>
      <c r="G5" s="320"/>
    </row>
    <row r="6" spans="1:7">
      <c r="A6" s="320"/>
      <c r="B6" s="320"/>
      <c r="C6" s="320"/>
      <c r="D6" s="320"/>
      <c r="E6" s="320"/>
      <c r="F6" s="320"/>
      <c r="G6" s="320"/>
    </row>
    <row r="8" spans="1:7">
      <c r="A8" s="355" t="s">
        <v>1412</v>
      </c>
      <c r="B8" s="355"/>
      <c r="C8" s="355"/>
      <c r="D8" s="355"/>
      <c r="E8" s="355"/>
      <c r="F8" s="355"/>
      <c r="G8" s="355"/>
    </row>
    <row r="9" spans="1:7">
      <c r="A9" s="70" t="s">
        <v>143</v>
      </c>
      <c r="B9" s="70" t="s">
        <v>1413</v>
      </c>
      <c r="C9" s="70" t="s">
        <v>1414</v>
      </c>
      <c r="D9" s="70" t="s">
        <v>1255</v>
      </c>
      <c r="E9" s="70" t="s">
        <v>1415</v>
      </c>
      <c r="F9" s="70" t="s">
        <v>1416</v>
      </c>
      <c r="G9" s="70" t="s">
        <v>1417</v>
      </c>
    </row>
    <row r="10" spans="1:7" ht="24">
      <c r="A10" s="87" t="s">
        <v>1639</v>
      </c>
      <c r="B10" s="85" t="s">
        <v>1640</v>
      </c>
      <c r="C10" s="85" t="s">
        <v>1420</v>
      </c>
      <c r="D10" s="85" t="s">
        <v>1538</v>
      </c>
      <c r="E10" s="85" t="s">
        <v>1422</v>
      </c>
      <c r="F10" s="85" t="s">
        <v>1639</v>
      </c>
      <c r="G10" s="148" t="s">
        <v>1641</v>
      </c>
    </row>
    <row r="11" spans="1:7" ht="24">
      <c r="A11" s="87" t="s">
        <v>1642</v>
      </c>
      <c r="B11" s="85" t="s">
        <v>1643</v>
      </c>
      <c r="C11" s="85" t="s">
        <v>1644</v>
      </c>
      <c r="D11" s="85" t="s">
        <v>1541</v>
      </c>
      <c r="E11" s="85" t="s">
        <v>1422</v>
      </c>
      <c r="F11" s="85" t="s">
        <v>1642</v>
      </c>
      <c r="G11" s="148" t="s">
        <v>1641</v>
      </c>
    </row>
    <row r="12" spans="1:7" ht="24">
      <c r="A12" s="87" t="s">
        <v>308</v>
      </c>
      <c r="B12" s="85" t="s">
        <v>1645</v>
      </c>
      <c r="C12" s="85" t="s">
        <v>659</v>
      </c>
      <c r="D12" s="85" t="s">
        <v>1646</v>
      </c>
      <c r="E12" s="85" t="s">
        <v>1422</v>
      </c>
      <c r="F12" s="85" t="s">
        <v>308</v>
      </c>
      <c r="G12" s="148" t="s">
        <v>1647</v>
      </c>
    </row>
    <row r="13" spans="1:7" ht="24">
      <c r="A13" s="87" t="s">
        <v>1648</v>
      </c>
      <c r="B13" s="85" t="s">
        <v>1649</v>
      </c>
      <c r="C13" s="85" t="s">
        <v>1650</v>
      </c>
      <c r="D13" s="85" t="s">
        <v>1651</v>
      </c>
      <c r="E13" s="85" t="s">
        <v>1422</v>
      </c>
      <c r="F13" s="85" t="s">
        <v>1648</v>
      </c>
      <c r="G13" s="148" t="s">
        <v>1641</v>
      </c>
    </row>
    <row r="14" spans="1:7" ht="24">
      <c r="A14" s="87" t="s">
        <v>1652</v>
      </c>
      <c r="B14" s="85" t="s">
        <v>1653</v>
      </c>
      <c r="C14" s="85" t="s">
        <v>1654</v>
      </c>
      <c r="D14" s="85" t="s">
        <v>1655</v>
      </c>
      <c r="E14" s="85" t="s">
        <v>1422</v>
      </c>
      <c r="F14" s="85" t="s">
        <v>1652</v>
      </c>
      <c r="G14" s="148" t="s">
        <v>1656</v>
      </c>
    </row>
    <row r="15" spans="1:7">
      <c r="A15" s="87"/>
      <c r="B15" s="85"/>
      <c r="C15" s="85"/>
      <c r="D15" s="85"/>
      <c r="E15" s="85"/>
      <c r="F15" s="85"/>
      <c r="G15" s="148"/>
    </row>
    <row r="16" spans="1:7">
      <c r="A16" s="87"/>
      <c r="B16" s="85"/>
      <c r="C16" s="85"/>
      <c r="D16" s="85"/>
      <c r="E16" s="85"/>
      <c r="F16" s="85"/>
      <c r="G16" s="148"/>
    </row>
    <row r="17" spans="1:7">
      <c r="A17" s="87"/>
      <c r="B17" s="85"/>
      <c r="C17" s="85"/>
      <c r="D17" s="85"/>
      <c r="E17" s="85"/>
      <c r="F17" s="85"/>
      <c r="G17" s="148"/>
    </row>
    <row r="19" spans="1:7">
      <c r="A19" s="355" t="s">
        <v>1452</v>
      </c>
      <c r="B19" s="355"/>
      <c r="C19" s="355"/>
      <c r="D19" s="355"/>
      <c r="E19" s="355"/>
      <c r="F19" s="355"/>
      <c r="G19" s="355"/>
    </row>
    <row r="20" spans="1:7">
      <c r="A20" s="70" t="s">
        <v>1453</v>
      </c>
      <c r="B20" s="70" t="s">
        <v>1454</v>
      </c>
      <c r="C20" s="70" t="s">
        <v>1455</v>
      </c>
      <c r="D20" s="70" t="s">
        <v>1456</v>
      </c>
      <c r="E20" s="70" t="s">
        <v>1457</v>
      </c>
      <c r="F20" s="70" t="s">
        <v>1458</v>
      </c>
      <c r="G20" s="70" t="s">
        <v>1459</v>
      </c>
    </row>
    <row r="21" spans="1:7" ht="36">
      <c r="A21" s="88" t="s">
        <v>1460</v>
      </c>
      <c r="B21" s="85" t="s">
        <v>1657</v>
      </c>
      <c r="C21" s="85" t="s">
        <v>1658</v>
      </c>
      <c r="D21" s="85" t="s">
        <v>1659</v>
      </c>
      <c r="E21" s="85" t="s">
        <v>1660</v>
      </c>
      <c r="F21" s="85" t="s">
        <v>1661</v>
      </c>
      <c r="G21" s="85" t="s">
        <v>1662</v>
      </c>
    </row>
    <row r="22" spans="1:7" ht="24">
      <c r="A22" s="88" t="s">
        <v>915</v>
      </c>
      <c r="B22" s="85" t="s">
        <v>1582</v>
      </c>
      <c r="C22" s="85" t="s">
        <v>1583</v>
      </c>
      <c r="D22" s="85" t="s">
        <v>1468</v>
      </c>
      <c r="E22" s="85" t="s">
        <v>1584</v>
      </c>
      <c r="F22" s="85" t="s">
        <v>1470</v>
      </c>
      <c r="G22" s="85" t="s">
        <v>1585</v>
      </c>
    </row>
    <row r="23" spans="1:7" ht="24">
      <c r="A23" s="88" t="s">
        <v>1472</v>
      </c>
      <c r="B23" s="85" t="s">
        <v>1586</v>
      </c>
      <c r="C23" s="85" t="s">
        <v>1587</v>
      </c>
      <c r="D23" s="85" t="s">
        <v>1588</v>
      </c>
      <c r="E23" s="85" t="s">
        <v>1589</v>
      </c>
      <c r="F23" s="85" t="s">
        <v>1590</v>
      </c>
      <c r="G23" s="85" t="s">
        <v>1591</v>
      </c>
    </row>
    <row r="25" spans="1:7">
      <c r="A25" s="355" t="s">
        <v>1479</v>
      </c>
      <c r="B25" s="355"/>
      <c r="C25" s="355"/>
      <c r="D25" s="355"/>
      <c r="E25" s="355"/>
      <c r="F25" s="355"/>
      <c r="G25" s="355"/>
    </row>
    <row r="26" spans="1:7">
      <c r="A26" s="317" t="s">
        <v>1663</v>
      </c>
      <c r="B26" s="317"/>
      <c r="C26" s="317"/>
      <c r="D26" s="317"/>
      <c r="E26" s="317"/>
      <c r="F26" s="317"/>
      <c r="G26" s="317"/>
    </row>
    <row r="27" spans="1:7">
      <c r="A27" s="317"/>
      <c r="B27" s="317"/>
      <c r="C27" s="317"/>
      <c r="D27" s="317"/>
      <c r="E27" s="317"/>
      <c r="F27" s="317"/>
      <c r="G27" s="317"/>
    </row>
    <row r="28" spans="1:7">
      <c r="A28" s="317"/>
      <c r="B28" s="317"/>
      <c r="C28" s="317"/>
      <c r="D28" s="317"/>
      <c r="E28" s="317"/>
      <c r="F28" s="317"/>
      <c r="G28" s="317"/>
    </row>
  </sheetData>
  <mergeCells count="8">
    <mergeCell ref="A25:G25"/>
    <mergeCell ref="A26:G28"/>
    <mergeCell ref="A1:G1"/>
    <mergeCell ref="A2:G2"/>
    <mergeCell ref="A4:G4"/>
    <mergeCell ref="A5:G6"/>
    <mergeCell ref="A8:G8"/>
    <mergeCell ref="A19:G19"/>
  </mergeCells>
  <pageMargins left="0.7" right="0.7" top="0.75" bottom="0.75" header="0.3" footer="0.3"/>
  <headerFooter>
    <oddFooter>&amp;L_x000D_&amp;1#&amp;"Aptos"&amp;10&amp;K000000 Confidential-Internal</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18F66-E149-4449-9880-04853D4AB571}">
  <dimension ref="A1:G28"/>
  <sheetViews>
    <sheetView topLeftCell="C7" workbookViewId="0">
      <selection activeCell="I11" sqref="I11:J11"/>
    </sheetView>
  </sheetViews>
  <sheetFormatPr defaultRowHeight="14.45"/>
  <cols>
    <col min="1" max="1" width="28.140625" customWidth="1"/>
    <col min="2" max="2" width="37.28515625" customWidth="1"/>
    <col min="3" max="3" width="24.5703125" customWidth="1"/>
    <col min="4" max="4" width="22.7109375" customWidth="1"/>
    <col min="5" max="6" width="24.5703125" customWidth="1"/>
    <col min="7" max="7" width="13.42578125" customWidth="1"/>
  </cols>
  <sheetData>
    <row r="1" spans="1:7" ht="26.1">
      <c r="A1" s="312" t="s">
        <v>1664</v>
      </c>
      <c r="B1" s="312"/>
      <c r="C1" s="312"/>
      <c r="D1" s="312"/>
      <c r="E1" s="312"/>
      <c r="F1" s="312"/>
      <c r="G1" s="312"/>
    </row>
    <row r="2" spans="1:7">
      <c r="A2" s="319" t="s">
        <v>1409</v>
      </c>
      <c r="B2" s="319"/>
      <c r="C2" s="319"/>
      <c r="D2" s="319"/>
      <c r="E2" s="319"/>
      <c r="F2" s="319"/>
      <c r="G2" s="319"/>
    </row>
    <row r="4" spans="1:7">
      <c r="A4" s="355" t="s">
        <v>1410</v>
      </c>
      <c r="B4" s="355"/>
      <c r="C4" s="355"/>
      <c r="D4" s="355"/>
      <c r="E4" s="355"/>
      <c r="F4" s="355"/>
      <c r="G4" s="355"/>
    </row>
    <row r="5" spans="1:7">
      <c r="A5" s="320" t="s">
        <v>1665</v>
      </c>
      <c r="B5" s="320"/>
      <c r="C5" s="320"/>
      <c r="D5" s="320"/>
      <c r="E5" s="320"/>
      <c r="F5" s="320"/>
      <c r="G5" s="320"/>
    </row>
    <row r="6" spans="1:7">
      <c r="A6" s="320"/>
      <c r="B6" s="320"/>
      <c r="C6" s="320"/>
      <c r="D6" s="320"/>
      <c r="E6" s="320"/>
      <c r="F6" s="320"/>
      <c r="G6" s="320"/>
    </row>
    <row r="8" spans="1:7">
      <c r="A8" s="355" t="s">
        <v>1412</v>
      </c>
      <c r="B8" s="355"/>
      <c r="C8" s="355"/>
      <c r="D8" s="355"/>
      <c r="E8" s="355"/>
      <c r="F8" s="355"/>
      <c r="G8" s="355"/>
    </row>
    <row r="9" spans="1:7">
      <c r="A9" s="70" t="s">
        <v>143</v>
      </c>
      <c r="B9" s="70" t="s">
        <v>1413</v>
      </c>
      <c r="C9" s="70" t="s">
        <v>1414</v>
      </c>
      <c r="D9" s="70" t="s">
        <v>1255</v>
      </c>
      <c r="E9" s="70" t="s">
        <v>1415</v>
      </c>
      <c r="F9" s="70" t="s">
        <v>1416</v>
      </c>
      <c r="G9" s="70" t="s">
        <v>1417</v>
      </c>
    </row>
    <row r="10" spans="1:7" ht="24">
      <c r="A10" s="87" t="s">
        <v>1666</v>
      </c>
      <c r="B10" s="85" t="s">
        <v>1616</v>
      </c>
      <c r="C10" s="85" t="s">
        <v>1667</v>
      </c>
      <c r="D10" s="85" t="s">
        <v>1618</v>
      </c>
      <c r="E10" s="85" t="s">
        <v>1422</v>
      </c>
      <c r="F10" s="85" t="s">
        <v>1666</v>
      </c>
      <c r="G10" s="148" t="s">
        <v>1641</v>
      </c>
    </row>
    <row r="11" spans="1:7" ht="24">
      <c r="A11" s="87" t="s">
        <v>1668</v>
      </c>
      <c r="B11" s="85" t="s">
        <v>1669</v>
      </c>
      <c r="C11" s="85" t="s">
        <v>1670</v>
      </c>
      <c r="D11" s="85" t="s">
        <v>1671</v>
      </c>
      <c r="E11" s="85" t="s">
        <v>1422</v>
      </c>
      <c r="F11" s="85" t="s">
        <v>1668</v>
      </c>
      <c r="G11" s="148" t="s">
        <v>1641</v>
      </c>
    </row>
    <row r="12" spans="1:7" ht="24">
      <c r="A12" s="87" t="s">
        <v>1630</v>
      </c>
      <c r="B12" s="85" t="s">
        <v>1672</v>
      </c>
      <c r="C12" s="85" t="s">
        <v>1443</v>
      </c>
      <c r="D12" s="85" t="s">
        <v>1179</v>
      </c>
      <c r="E12" s="85" t="s">
        <v>1422</v>
      </c>
      <c r="F12" s="85" t="s">
        <v>1630</v>
      </c>
      <c r="G12" s="148" t="s">
        <v>1641</v>
      </c>
    </row>
    <row r="13" spans="1:7" ht="24">
      <c r="A13" s="87" t="s">
        <v>1673</v>
      </c>
      <c r="B13" s="85" t="s">
        <v>1674</v>
      </c>
      <c r="C13" s="85" t="s">
        <v>1675</v>
      </c>
      <c r="D13" s="85" t="s">
        <v>1676</v>
      </c>
      <c r="E13" s="85" t="s">
        <v>1422</v>
      </c>
      <c r="F13" s="85" t="s">
        <v>1673</v>
      </c>
      <c r="G13" s="148" t="s">
        <v>1641</v>
      </c>
    </row>
    <row r="14" spans="1:7" ht="24">
      <c r="A14" s="87" t="s">
        <v>1677</v>
      </c>
      <c r="B14" s="85" t="s">
        <v>1678</v>
      </c>
      <c r="C14" s="85" t="s">
        <v>1679</v>
      </c>
      <c r="D14" s="85" t="s">
        <v>1680</v>
      </c>
      <c r="E14" s="85" t="s">
        <v>1422</v>
      </c>
      <c r="F14" s="85" t="s">
        <v>1677</v>
      </c>
      <c r="G14" s="148" t="s">
        <v>1641</v>
      </c>
    </row>
    <row r="15" spans="1:7" ht="24">
      <c r="A15" s="87" t="s">
        <v>1681</v>
      </c>
      <c r="B15" s="85" t="s">
        <v>1682</v>
      </c>
      <c r="C15" s="85" t="s">
        <v>1683</v>
      </c>
      <c r="D15" s="85" t="s">
        <v>1684</v>
      </c>
      <c r="E15" s="85" t="s">
        <v>1422</v>
      </c>
      <c r="F15" s="85" t="s">
        <v>1681</v>
      </c>
      <c r="G15" s="148" t="s">
        <v>1641</v>
      </c>
    </row>
    <row r="16" spans="1:7" ht="24">
      <c r="A16" s="87" t="s">
        <v>1685</v>
      </c>
      <c r="B16" s="85" t="s">
        <v>1686</v>
      </c>
      <c r="C16" s="85" t="s">
        <v>1683</v>
      </c>
      <c r="D16" s="85" t="s">
        <v>1687</v>
      </c>
      <c r="E16" s="85" t="s">
        <v>1422</v>
      </c>
      <c r="F16" s="85" t="s">
        <v>1685</v>
      </c>
      <c r="G16" s="148" t="s">
        <v>1641</v>
      </c>
    </row>
    <row r="17" spans="1:7">
      <c r="A17" s="87"/>
      <c r="B17" s="85"/>
      <c r="C17" s="85"/>
      <c r="D17" s="85"/>
      <c r="E17" s="85"/>
      <c r="F17" s="85"/>
      <c r="G17" s="148"/>
    </row>
    <row r="19" spans="1:7">
      <c r="A19" s="355" t="s">
        <v>1452</v>
      </c>
      <c r="B19" s="355"/>
      <c r="C19" s="355"/>
      <c r="D19" s="355"/>
      <c r="E19" s="355"/>
      <c r="F19" s="355"/>
      <c r="G19" s="355"/>
    </row>
    <row r="20" spans="1:7" ht="29.1">
      <c r="A20" s="70" t="s">
        <v>1453</v>
      </c>
      <c r="B20" s="70" t="s">
        <v>1454</v>
      </c>
      <c r="C20" s="70" t="s">
        <v>1455</v>
      </c>
      <c r="D20" s="70" t="s">
        <v>1456</v>
      </c>
      <c r="E20" s="70" t="s">
        <v>1457</v>
      </c>
      <c r="F20" s="70" t="s">
        <v>1458</v>
      </c>
      <c r="G20" s="70" t="s">
        <v>1459</v>
      </c>
    </row>
    <row r="21" spans="1:7" ht="60">
      <c r="A21" s="88" t="s">
        <v>1460</v>
      </c>
      <c r="B21" s="85" t="s">
        <v>1688</v>
      </c>
      <c r="C21" s="85" t="s">
        <v>1689</v>
      </c>
      <c r="D21" s="85" t="s">
        <v>1690</v>
      </c>
      <c r="E21" s="85" t="s">
        <v>1691</v>
      </c>
      <c r="F21" s="85" t="s">
        <v>1692</v>
      </c>
      <c r="G21" s="85" t="s">
        <v>1693</v>
      </c>
    </row>
    <row r="22" spans="1:7" ht="48">
      <c r="A22" s="88" t="s">
        <v>915</v>
      </c>
      <c r="B22" s="85" t="s">
        <v>1582</v>
      </c>
      <c r="C22" s="85" t="s">
        <v>1583</v>
      </c>
      <c r="D22" s="85" t="s">
        <v>1468</v>
      </c>
      <c r="E22" s="85" t="s">
        <v>1584</v>
      </c>
      <c r="F22" s="85" t="s">
        <v>1470</v>
      </c>
      <c r="G22" s="85" t="s">
        <v>1585</v>
      </c>
    </row>
    <row r="23" spans="1:7" ht="36">
      <c r="A23" s="88" t="s">
        <v>1472</v>
      </c>
      <c r="B23" s="85" t="s">
        <v>1586</v>
      </c>
      <c r="C23" s="85" t="s">
        <v>1587</v>
      </c>
      <c r="D23" s="85" t="s">
        <v>1588</v>
      </c>
      <c r="E23" s="85" t="s">
        <v>1589</v>
      </c>
      <c r="F23" s="85" t="s">
        <v>1590</v>
      </c>
      <c r="G23" s="85" t="s">
        <v>1591</v>
      </c>
    </row>
    <row r="25" spans="1:7">
      <c r="A25" s="355" t="s">
        <v>1479</v>
      </c>
      <c r="B25" s="355"/>
      <c r="C25" s="355"/>
      <c r="D25" s="355"/>
      <c r="E25" s="355"/>
      <c r="F25" s="355"/>
      <c r="G25" s="355"/>
    </row>
    <row r="26" spans="1:7">
      <c r="A26" s="317" t="s">
        <v>1694</v>
      </c>
      <c r="B26" s="317"/>
      <c r="C26" s="317"/>
      <c r="D26" s="317"/>
      <c r="E26" s="317"/>
      <c r="F26" s="317"/>
      <c r="G26" s="317"/>
    </row>
    <row r="27" spans="1:7">
      <c r="A27" s="317"/>
      <c r="B27" s="317"/>
      <c r="C27" s="317"/>
      <c r="D27" s="317"/>
      <c r="E27" s="317"/>
      <c r="F27" s="317"/>
      <c r="G27" s="317"/>
    </row>
    <row r="28" spans="1:7">
      <c r="A28" s="317"/>
      <c r="B28" s="317"/>
      <c r="C28" s="317"/>
      <c r="D28" s="317"/>
      <c r="E28" s="317"/>
      <c r="F28" s="317"/>
      <c r="G28" s="317"/>
    </row>
  </sheetData>
  <mergeCells count="8">
    <mergeCell ref="A25:G25"/>
    <mergeCell ref="A26:G28"/>
    <mergeCell ref="A1:G1"/>
    <mergeCell ref="A2:G2"/>
    <mergeCell ref="A4:G4"/>
    <mergeCell ref="A5:G6"/>
    <mergeCell ref="A8:G8"/>
    <mergeCell ref="A19:G19"/>
  </mergeCells>
  <pageMargins left="0.7" right="0.7" top="0.75" bottom="0.75" header="0.3" footer="0.3"/>
  <headerFooter>
    <oddFooter>&amp;L_x000D_&amp;1#&amp;"Aptos"&amp;10&amp;K000000 Confidential-Internal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9B82E-7306-4332-BE55-C8F631497D51}">
  <dimension ref="A1:G28"/>
  <sheetViews>
    <sheetView workbookViewId="0">
      <selection activeCell="I11" sqref="I11:J11"/>
    </sheetView>
  </sheetViews>
  <sheetFormatPr defaultRowHeight="14.45"/>
  <cols>
    <col min="1" max="1" width="28.140625" customWidth="1"/>
    <col min="2" max="2" width="37.28515625" customWidth="1"/>
    <col min="3" max="3" width="24.5703125" customWidth="1"/>
    <col min="4" max="4" width="22.7109375" customWidth="1"/>
    <col min="5" max="7" width="24.5703125" customWidth="1"/>
  </cols>
  <sheetData>
    <row r="1" spans="1:7" ht="26.1">
      <c r="A1" s="312" t="s">
        <v>1695</v>
      </c>
      <c r="B1" s="312"/>
      <c r="C1" s="312"/>
      <c r="D1" s="312"/>
      <c r="E1" s="312"/>
      <c r="F1" s="312"/>
      <c r="G1" s="312"/>
    </row>
    <row r="2" spans="1:7">
      <c r="A2" s="319" t="s">
        <v>1409</v>
      </c>
      <c r="B2" s="319"/>
      <c r="C2" s="319"/>
      <c r="D2" s="319"/>
      <c r="E2" s="319"/>
      <c r="F2" s="319"/>
      <c r="G2" s="319"/>
    </row>
    <row r="4" spans="1:7">
      <c r="A4" s="355" t="s">
        <v>1410</v>
      </c>
      <c r="B4" s="355"/>
      <c r="C4" s="355"/>
      <c r="D4" s="355"/>
      <c r="E4" s="355"/>
      <c r="F4" s="355"/>
      <c r="G4" s="355"/>
    </row>
    <row r="5" spans="1:7">
      <c r="A5" s="320" t="s">
        <v>1696</v>
      </c>
      <c r="B5" s="320"/>
      <c r="C5" s="320"/>
      <c r="D5" s="320"/>
      <c r="E5" s="320"/>
      <c r="F5" s="320"/>
      <c r="G5" s="320"/>
    </row>
    <row r="6" spans="1:7">
      <c r="A6" s="320"/>
      <c r="B6" s="320"/>
      <c r="C6" s="320"/>
      <c r="D6" s="320"/>
      <c r="E6" s="320"/>
      <c r="F6" s="320"/>
      <c r="G6" s="320"/>
    </row>
    <row r="8" spans="1:7">
      <c r="A8" s="355" t="s">
        <v>1412</v>
      </c>
      <c r="B8" s="355"/>
      <c r="C8" s="355"/>
      <c r="D8" s="355"/>
      <c r="E8" s="355"/>
      <c r="F8" s="355"/>
      <c r="G8" s="355"/>
    </row>
    <row r="9" spans="1:7">
      <c r="A9" s="70" t="s">
        <v>143</v>
      </c>
      <c r="B9" s="70" t="s">
        <v>1413</v>
      </c>
      <c r="C9" s="70" t="s">
        <v>1414</v>
      </c>
      <c r="D9" s="70" t="s">
        <v>1255</v>
      </c>
      <c r="E9" s="70" t="s">
        <v>1415</v>
      </c>
      <c r="F9" s="70" t="s">
        <v>1416</v>
      </c>
      <c r="G9" s="70" t="s">
        <v>1417</v>
      </c>
    </row>
    <row r="10" spans="1:7" ht="24">
      <c r="A10" s="87" t="s">
        <v>1697</v>
      </c>
      <c r="B10" s="85" t="s">
        <v>1698</v>
      </c>
      <c r="C10" s="85" t="s">
        <v>1699</v>
      </c>
      <c r="D10" s="85" t="s">
        <v>1700</v>
      </c>
      <c r="E10" s="85" t="s">
        <v>1422</v>
      </c>
      <c r="F10" s="85" t="s">
        <v>1697</v>
      </c>
      <c r="G10" s="148" t="s">
        <v>1641</v>
      </c>
    </row>
    <row r="11" spans="1:7" ht="24">
      <c r="A11" s="87" t="s">
        <v>1701</v>
      </c>
      <c r="B11" s="85" t="s">
        <v>1702</v>
      </c>
      <c r="C11" s="85" t="s">
        <v>1644</v>
      </c>
      <c r="D11" s="85" t="s">
        <v>1703</v>
      </c>
      <c r="E11" s="85" t="s">
        <v>1422</v>
      </c>
      <c r="F11" s="85" t="s">
        <v>1701</v>
      </c>
      <c r="G11" s="148" t="s">
        <v>1641</v>
      </c>
    </row>
    <row r="12" spans="1:7" ht="24">
      <c r="A12" s="87" t="s">
        <v>1704</v>
      </c>
      <c r="B12" s="85" t="s">
        <v>1705</v>
      </c>
      <c r="C12" s="85" t="s">
        <v>1490</v>
      </c>
      <c r="D12" s="85" t="s">
        <v>1706</v>
      </c>
      <c r="E12" s="85" t="s">
        <v>1422</v>
      </c>
      <c r="F12" s="85" t="s">
        <v>1704</v>
      </c>
      <c r="G12" s="148" t="s">
        <v>1641</v>
      </c>
    </row>
    <row r="13" spans="1:7" ht="24">
      <c r="A13" s="87" t="s">
        <v>1707</v>
      </c>
      <c r="B13" s="85" t="s">
        <v>1708</v>
      </c>
      <c r="C13" s="85" t="s">
        <v>1699</v>
      </c>
      <c r="D13" s="85" t="s">
        <v>1709</v>
      </c>
      <c r="E13" s="85" t="s">
        <v>1422</v>
      </c>
      <c r="F13" s="85" t="s">
        <v>1707</v>
      </c>
      <c r="G13" s="148" t="s">
        <v>1641</v>
      </c>
    </row>
    <row r="14" spans="1:7" ht="24">
      <c r="A14" s="87" t="s">
        <v>1710</v>
      </c>
      <c r="B14" s="85" t="s">
        <v>1711</v>
      </c>
      <c r="C14" s="85" t="s">
        <v>1679</v>
      </c>
      <c r="D14" s="85" t="s">
        <v>1712</v>
      </c>
      <c r="E14" s="85" t="s">
        <v>1422</v>
      </c>
      <c r="F14" s="85" t="s">
        <v>1710</v>
      </c>
      <c r="G14" s="148" t="s">
        <v>1641</v>
      </c>
    </row>
    <row r="15" spans="1:7">
      <c r="A15" s="87"/>
      <c r="B15" s="85"/>
      <c r="C15" s="85"/>
      <c r="D15" s="85"/>
      <c r="E15" s="85"/>
      <c r="F15" s="85"/>
      <c r="G15" s="148"/>
    </row>
    <row r="16" spans="1:7">
      <c r="A16" s="87"/>
      <c r="B16" s="85"/>
      <c r="C16" s="85"/>
      <c r="D16" s="85"/>
      <c r="E16" s="85"/>
      <c r="F16" s="85"/>
      <c r="G16" s="148"/>
    </row>
    <row r="17" spans="1:7">
      <c r="A17" s="87"/>
      <c r="B17" s="85"/>
      <c r="C17" s="85"/>
      <c r="D17" s="85"/>
      <c r="E17" s="85"/>
      <c r="F17" s="85"/>
      <c r="G17" s="148"/>
    </row>
    <row r="19" spans="1:7">
      <c r="A19" s="355" t="s">
        <v>1452</v>
      </c>
      <c r="B19" s="355"/>
      <c r="C19" s="355"/>
      <c r="D19" s="355"/>
      <c r="E19" s="355"/>
      <c r="F19" s="355"/>
      <c r="G19" s="355"/>
    </row>
    <row r="20" spans="1:7">
      <c r="A20" s="70" t="s">
        <v>1453</v>
      </c>
      <c r="B20" s="70" t="s">
        <v>1454</v>
      </c>
      <c r="C20" s="70" t="s">
        <v>1455</v>
      </c>
      <c r="D20" s="70" t="s">
        <v>1456</v>
      </c>
      <c r="E20" s="70" t="s">
        <v>1457</v>
      </c>
      <c r="F20" s="70" t="s">
        <v>1458</v>
      </c>
      <c r="G20" s="70" t="s">
        <v>1459</v>
      </c>
    </row>
    <row r="21" spans="1:7" ht="24">
      <c r="A21" s="88" t="s">
        <v>1460</v>
      </c>
      <c r="B21" s="85" t="s">
        <v>1713</v>
      </c>
      <c r="C21" s="85" t="s">
        <v>1402</v>
      </c>
      <c r="D21" s="85" t="s">
        <v>1714</v>
      </c>
      <c r="E21" s="85" t="s">
        <v>1715</v>
      </c>
      <c r="F21" s="85" t="s">
        <v>1716</v>
      </c>
      <c r="G21" s="85" t="s">
        <v>1717</v>
      </c>
    </row>
    <row r="22" spans="1:7" ht="24">
      <c r="A22" s="88" t="s">
        <v>915</v>
      </c>
      <c r="B22" s="85" t="s">
        <v>1582</v>
      </c>
      <c r="C22" s="85" t="s">
        <v>1583</v>
      </c>
      <c r="D22" s="85" t="s">
        <v>1468</v>
      </c>
      <c r="E22" s="85" t="s">
        <v>1584</v>
      </c>
      <c r="F22" s="85" t="s">
        <v>1470</v>
      </c>
      <c r="G22" s="85" t="s">
        <v>1585</v>
      </c>
    </row>
    <row r="23" spans="1:7" ht="24">
      <c r="A23" s="88" t="s">
        <v>1472</v>
      </c>
      <c r="B23" s="85" t="s">
        <v>1586</v>
      </c>
      <c r="C23" s="85" t="s">
        <v>1587</v>
      </c>
      <c r="D23" s="85" t="s">
        <v>1588</v>
      </c>
      <c r="E23" s="85" t="s">
        <v>1589</v>
      </c>
      <c r="F23" s="85" t="s">
        <v>1590</v>
      </c>
      <c r="G23" s="85" t="s">
        <v>1591</v>
      </c>
    </row>
    <row r="25" spans="1:7">
      <c r="A25" s="355" t="s">
        <v>1479</v>
      </c>
      <c r="B25" s="355"/>
      <c r="C25" s="355"/>
      <c r="D25" s="355"/>
      <c r="E25" s="355"/>
      <c r="F25" s="355"/>
      <c r="G25" s="355"/>
    </row>
    <row r="26" spans="1:7">
      <c r="A26" s="317" t="s">
        <v>1718</v>
      </c>
      <c r="B26" s="317"/>
      <c r="C26" s="317"/>
      <c r="D26" s="317"/>
      <c r="E26" s="317"/>
      <c r="F26" s="317"/>
      <c r="G26" s="317"/>
    </row>
    <row r="27" spans="1:7">
      <c r="A27" s="317"/>
      <c r="B27" s="317"/>
      <c r="C27" s="317"/>
      <c r="D27" s="317"/>
      <c r="E27" s="317"/>
      <c r="F27" s="317"/>
      <c r="G27" s="317"/>
    </row>
    <row r="28" spans="1:7">
      <c r="A28" s="317"/>
      <c r="B28" s="317"/>
      <c r="C28" s="317"/>
      <c r="D28" s="317"/>
      <c r="E28" s="317"/>
      <c r="F28" s="317"/>
      <c r="G28" s="317"/>
    </row>
  </sheetData>
  <mergeCells count="8">
    <mergeCell ref="A25:G25"/>
    <mergeCell ref="A26:G28"/>
    <mergeCell ref="A1:G1"/>
    <mergeCell ref="A2:G2"/>
    <mergeCell ref="A4:G4"/>
    <mergeCell ref="A5:G6"/>
    <mergeCell ref="A8:G8"/>
    <mergeCell ref="A19:G19"/>
  </mergeCells>
  <pageMargins left="0.7" right="0.7" top="0.75" bottom="0.75" header="0.3" footer="0.3"/>
  <headerFooter>
    <oddFooter>&amp;L_x000D_&amp;1#&amp;"Aptos"&amp;10&amp;K000000 Confidential-Internal</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CCA12-7144-4CC4-A764-20A3CEF6DCA3}">
  <dimension ref="A1:G28"/>
  <sheetViews>
    <sheetView workbookViewId="0">
      <selection activeCell="I11" sqref="I11:J11"/>
    </sheetView>
  </sheetViews>
  <sheetFormatPr defaultRowHeight="14.45"/>
  <cols>
    <col min="1" max="1" width="28.140625" customWidth="1"/>
    <col min="2" max="2" width="37.28515625" customWidth="1"/>
    <col min="3" max="3" width="24.5703125" customWidth="1"/>
    <col min="4" max="4" width="22.7109375" customWidth="1"/>
    <col min="5" max="7" width="24.5703125" customWidth="1"/>
  </cols>
  <sheetData>
    <row r="1" spans="1:7" ht="26.1">
      <c r="A1" s="312" t="s">
        <v>1719</v>
      </c>
      <c r="B1" s="312"/>
      <c r="C1" s="312"/>
      <c r="D1" s="312"/>
      <c r="E1" s="312"/>
      <c r="F1" s="312"/>
      <c r="G1" s="312"/>
    </row>
    <row r="2" spans="1:7">
      <c r="A2" s="319" t="s">
        <v>1409</v>
      </c>
      <c r="B2" s="319"/>
      <c r="C2" s="319"/>
      <c r="D2" s="319"/>
      <c r="E2" s="319"/>
      <c r="F2" s="319"/>
      <c r="G2" s="319"/>
    </row>
    <row r="4" spans="1:7">
      <c r="A4" s="355" t="s">
        <v>1410</v>
      </c>
      <c r="B4" s="355"/>
      <c r="C4" s="355"/>
      <c r="D4" s="355"/>
      <c r="E4" s="355"/>
      <c r="F4" s="355"/>
      <c r="G4" s="355"/>
    </row>
    <row r="5" spans="1:7">
      <c r="A5" s="320" t="s">
        <v>1720</v>
      </c>
      <c r="B5" s="320"/>
      <c r="C5" s="320"/>
      <c r="D5" s="320"/>
      <c r="E5" s="320"/>
      <c r="F5" s="320"/>
      <c r="G5" s="320"/>
    </row>
    <row r="6" spans="1:7">
      <c r="A6" s="320"/>
      <c r="B6" s="320"/>
      <c r="C6" s="320"/>
      <c r="D6" s="320"/>
      <c r="E6" s="320"/>
      <c r="F6" s="320"/>
      <c r="G6" s="320"/>
    </row>
    <row r="8" spans="1:7">
      <c r="A8" s="355" t="s">
        <v>1412</v>
      </c>
      <c r="B8" s="355"/>
      <c r="C8" s="355"/>
      <c r="D8" s="355"/>
      <c r="E8" s="355"/>
      <c r="F8" s="355"/>
      <c r="G8" s="355"/>
    </row>
    <row r="9" spans="1:7">
      <c r="A9" s="70" t="s">
        <v>143</v>
      </c>
      <c r="B9" s="70" t="s">
        <v>1413</v>
      </c>
      <c r="C9" s="70" t="s">
        <v>1414</v>
      </c>
      <c r="D9" s="70" t="s">
        <v>1255</v>
      </c>
      <c r="E9" s="70" t="s">
        <v>1415</v>
      </c>
      <c r="F9" s="70" t="s">
        <v>1416</v>
      </c>
      <c r="G9" s="70" t="s">
        <v>1417</v>
      </c>
    </row>
    <row r="10" spans="1:7" ht="24">
      <c r="A10" s="87" t="s">
        <v>1721</v>
      </c>
      <c r="B10" s="85" t="s">
        <v>1722</v>
      </c>
      <c r="C10" s="85" t="s">
        <v>1683</v>
      </c>
      <c r="D10" s="85" t="s">
        <v>1723</v>
      </c>
      <c r="E10" s="85" t="s">
        <v>1422</v>
      </c>
      <c r="F10" s="85" t="s">
        <v>1721</v>
      </c>
      <c r="G10" s="148" t="s">
        <v>1641</v>
      </c>
    </row>
    <row r="11" spans="1:7" ht="24">
      <c r="A11" s="87" t="s">
        <v>1724</v>
      </c>
      <c r="B11" s="85" t="s">
        <v>1725</v>
      </c>
      <c r="C11" s="85" t="s">
        <v>1726</v>
      </c>
      <c r="D11" s="85" t="s">
        <v>1727</v>
      </c>
      <c r="E11" s="85" t="s">
        <v>1422</v>
      </c>
      <c r="F11" s="85" t="s">
        <v>1724</v>
      </c>
      <c r="G11" s="148" t="s">
        <v>1641</v>
      </c>
    </row>
    <row r="12" spans="1:7" ht="24">
      <c r="A12" s="87" t="s">
        <v>1728</v>
      </c>
      <c r="B12" s="85" t="s">
        <v>1729</v>
      </c>
      <c r="C12" s="85" t="s">
        <v>1683</v>
      </c>
      <c r="D12" s="85" t="s">
        <v>1730</v>
      </c>
      <c r="E12" s="85" t="s">
        <v>1422</v>
      </c>
      <c r="F12" s="85" t="s">
        <v>1728</v>
      </c>
      <c r="G12" s="148" t="s">
        <v>1641</v>
      </c>
    </row>
    <row r="13" spans="1:7" ht="24">
      <c r="A13" s="87" t="s">
        <v>1731</v>
      </c>
      <c r="B13" s="85" t="s">
        <v>1732</v>
      </c>
      <c r="C13" s="85" t="s">
        <v>1733</v>
      </c>
      <c r="D13" s="85" t="s">
        <v>1734</v>
      </c>
      <c r="E13" s="85" t="s">
        <v>1422</v>
      </c>
      <c r="F13" s="85" t="s">
        <v>1731</v>
      </c>
      <c r="G13" s="148" t="s">
        <v>1641</v>
      </c>
    </row>
    <row r="14" spans="1:7">
      <c r="A14" s="87"/>
      <c r="B14" s="85"/>
      <c r="C14" s="85"/>
      <c r="D14" s="85"/>
      <c r="E14" s="85"/>
      <c r="F14" s="85"/>
      <c r="G14" s="148"/>
    </row>
    <row r="15" spans="1:7">
      <c r="A15" s="87"/>
      <c r="B15" s="85"/>
      <c r="C15" s="85"/>
      <c r="D15" s="85"/>
      <c r="E15" s="85"/>
      <c r="F15" s="85"/>
      <c r="G15" s="148"/>
    </row>
    <row r="16" spans="1:7">
      <c r="A16" s="87"/>
      <c r="B16" s="85"/>
      <c r="C16" s="85"/>
      <c r="D16" s="85"/>
      <c r="E16" s="85"/>
      <c r="F16" s="85"/>
      <c r="G16" s="148"/>
    </row>
    <row r="17" spans="1:7">
      <c r="A17" s="87"/>
      <c r="B17" s="85"/>
      <c r="C17" s="85"/>
      <c r="D17" s="85"/>
      <c r="E17" s="85"/>
      <c r="F17" s="85"/>
      <c r="G17" s="148"/>
    </row>
    <row r="19" spans="1:7">
      <c r="A19" s="355" t="s">
        <v>1452</v>
      </c>
      <c r="B19" s="355"/>
      <c r="C19" s="355"/>
      <c r="D19" s="355"/>
      <c r="E19" s="355"/>
      <c r="F19" s="355"/>
      <c r="G19" s="355"/>
    </row>
    <row r="20" spans="1:7">
      <c r="A20" s="70" t="s">
        <v>1453</v>
      </c>
      <c r="B20" s="70" t="s">
        <v>1454</v>
      </c>
      <c r="C20" s="70" t="s">
        <v>1455</v>
      </c>
      <c r="D20" s="70" t="s">
        <v>1456</v>
      </c>
      <c r="E20" s="70" t="s">
        <v>1457</v>
      </c>
      <c r="F20" s="70" t="s">
        <v>1458</v>
      </c>
      <c r="G20" s="70" t="s">
        <v>1459</v>
      </c>
    </row>
    <row r="21" spans="1:7" ht="24">
      <c r="A21" s="88" t="s">
        <v>1460</v>
      </c>
      <c r="B21" s="85" t="s">
        <v>1735</v>
      </c>
      <c r="C21" s="85" t="s">
        <v>1736</v>
      </c>
      <c r="D21" s="85" t="s">
        <v>1737</v>
      </c>
      <c r="E21" s="85" t="s">
        <v>1738</v>
      </c>
      <c r="F21" s="85" t="s">
        <v>1739</v>
      </c>
      <c r="G21" s="85" t="s">
        <v>1740</v>
      </c>
    </row>
    <row r="22" spans="1:7" ht="24">
      <c r="A22" s="88" t="s">
        <v>915</v>
      </c>
      <c r="B22" s="85" t="s">
        <v>1582</v>
      </c>
      <c r="C22" s="85" t="s">
        <v>1583</v>
      </c>
      <c r="D22" s="85" t="s">
        <v>1468</v>
      </c>
      <c r="E22" s="85" t="s">
        <v>1584</v>
      </c>
      <c r="F22" s="85" t="s">
        <v>1470</v>
      </c>
      <c r="G22" s="85" t="s">
        <v>1585</v>
      </c>
    </row>
    <row r="23" spans="1:7" ht="24">
      <c r="A23" s="88" t="s">
        <v>1472</v>
      </c>
      <c r="B23" s="85" t="s">
        <v>1586</v>
      </c>
      <c r="C23" s="85" t="s">
        <v>1587</v>
      </c>
      <c r="D23" s="85" t="s">
        <v>1588</v>
      </c>
      <c r="E23" s="85" t="s">
        <v>1589</v>
      </c>
      <c r="F23" s="85" t="s">
        <v>1590</v>
      </c>
      <c r="G23" s="85" t="s">
        <v>1591</v>
      </c>
    </row>
    <row r="25" spans="1:7">
      <c r="A25" s="355" t="s">
        <v>1479</v>
      </c>
      <c r="B25" s="355"/>
      <c r="C25" s="355"/>
      <c r="D25" s="355"/>
      <c r="E25" s="355"/>
      <c r="F25" s="355"/>
      <c r="G25" s="355"/>
    </row>
    <row r="26" spans="1:7">
      <c r="A26" s="317" t="s">
        <v>1741</v>
      </c>
      <c r="B26" s="317"/>
      <c r="C26" s="317"/>
      <c r="D26" s="317"/>
      <c r="E26" s="317"/>
      <c r="F26" s="317"/>
      <c r="G26" s="317"/>
    </row>
    <row r="27" spans="1:7">
      <c r="A27" s="317"/>
      <c r="B27" s="317"/>
      <c r="C27" s="317"/>
      <c r="D27" s="317"/>
      <c r="E27" s="317"/>
      <c r="F27" s="317"/>
      <c r="G27" s="317"/>
    </row>
    <row r="28" spans="1:7">
      <c r="A28" s="317"/>
      <c r="B28" s="317"/>
      <c r="C28" s="317"/>
      <c r="D28" s="317"/>
      <c r="E28" s="317"/>
      <c r="F28" s="317"/>
      <c r="G28" s="317"/>
    </row>
  </sheetData>
  <mergeCells count="8">
    <mergeCell ref="A25:G25"/>
    <mergeCell ref="A26:G28"/>
    <mergeCell ref="A1:G1"/>
    <mergeCell ref="A2:G2"/>
    <mergeCell ref="A4:G4"/>
    <mergeCell ref="A5:G6"/>
    <mergeCell ref="A8:G8"/>
    <mergeCell ref="A19:G19"/>
  </mergeCells>
  <pageMargins left="0.7" right="0.7" top="0.75" bottom="0.75" header="0.3" footer="0.3"/>
  <headerFooter>
    <oddFooter>&amp;L_x000D_&amp;1#&amp;"Aptos"&amp;10&amp;K000000 Confidential-Internal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15215-DE2E-4968-9B7F-B5CC773D9E49}">
  <dimension ref="A1:G29"/>
  <sheetViews>
    <sheetView topLeftCell="A22" workbookViewId="0">
      <selection activeCell="I11" sqref="I11:J11"/>
    </sheetView>
  </sheetViews>
  <sheetFormatPr defaultRowHeight="14.45"/>
  <cols>
    <col min="1" max="1" width="20" customWidth="1"/>
    <col min="2" max="2" width="25.42578125" customWidth="1"/>
    <col min="3" max="3" width="19.140625" customWidth="1"/>
    <col min="4" max="4" width="22.7109375" customWidth="1"/>
    <col min="5" max="6" width="25.42578125" customWidth="1"/>
    <col min="7" max="7" width="23.85546875" bestFit="1" customWidth="1"/>
  </cols>
  <sheetData>
    <row r="1" spans="1:7" ht="30" customHeight="1">
      <c r="A1" s="298" t="s">
        <v>1742</v>
      </c>
      <c r="B1" s="298"/>
      <c r="C1" s="298"/>
      <c r="D1" s="298"/>
      <c r="E1" s="298"/>
      <c r="F1" s="298"/>
      <c r="G1" s="213"/>
    </row>
    <row r="2" spans="1:7" ht="14.45" customHeight="1">
      <c r="A2" s="321" t="s">
        <v>1743</v>
      </c>
      <c r="B2" s="321"/>
      <c r="C2" s="321"/>
      <c r="D2" s="321"/>
      <c r="E2" s="321"/>
      <c r="F2" s="321"/>
      <c r="G2" s="215"/>
    </row>
    <row r="3" spans="1:7">
      <c r="A3" s="244"/>
      <c r="B3" s="244"/>
      <c r="C3" s="244"/>
      <c r="D3" s="244"/>
      <c r="E3" s="244"/>
      <c r="F3" s="244"/>
    </row>
    <row r="4" spans="1:7">
      <c r="A4" s="302" t="s">
        <v>1410</v>
      </c>
      <c r="B4" s="302"/>
      <c r="C4" s="302"/>
      <c r="D4" s="302"/>
      <c r="E4" s="302"/>
      <c r="F4" s="302"/>
      <c r="G4" s="217"/>
    </row>
    <row r="5" spans="1:7" ht="30" customHeight="1">
      <c r="A5" s="320" t="s">
        <v>1744</v>
      </c>
      <c r="B5" s="320"/>
      <c r="C5" s="320"/>
      <c r="D5" s="320"/>
      <c r="E5" s="320"/>
      <c r="F5" s="320"/>
      <c r="G5" s="216"/>
    </row>
    <row r="6" spans="1:7" ht="30" customHeight="1">
      <c r="A6" s="320"/>
      <c r="B6" s="320"/>
      <c r="C6" s="320"/>
      <c r="D6" s="320"/>
      <c r="E6" s="320"/>
      <c r="F6" s="320"/>
      <c r="G6" s="216"/>
    </row>
    <row r="7" spans="1:7">
      <c r="A7" s="244"/>
      <c r="B7" s="244"/>
      <c r="C7" s="244"/>
      <c r="D7" s="244"/>
      <c r="E7" s="244"/>
      <c r="F7" s="244"/>
    </row>
    <row r="8" spans="1:7">
      <c r="A8" s="302" t="s">
        <v>1412</v>
      </c>
      <c r="B8" s="302"/>
      <c r="C8" s="302"/>
      <c r="D8" s="302"/>
      <c r="E8" s="302"/>
      <c r="F8" s="302"/>
      <c r="G8" s="217"/>
    </row>
    <row r="9" spans="1:7">
      <c r="A9" s="70" t="s">
        <v>143</v>
      </c>
      <c r="B9" s="70" t="s">
        <v>1413</v>
      </c>
      <c r="C9" s="70" t="s">
        <v>1414</v>
      </c>
      <c r="D9" s="70" t="s">
        <v>1255</v>
      </c>
      <c r="E9" s="70" t="s">
        <v>1415</v>
      </c>
      <c r="F9" s="70" t="s">
        <v>1416</v>
      </c>
      <c r="G9" s="70" t="s">
        <v>1417</v>
      </c>
    </row>
    <row r="10" spans="1:7" ht="36">
      <c r="A10" s="245" t="s">
        <v>1745</v>
      </c>
      <c r="B10" s="246" t="s">
        <v>1746</v>
      </c>
      <c r="C10" s="246" t="s">
        <v>1747</v>
      </c>
      <c r="D10" s="246" t="s">
        <v>1747</v>
      </c>
      <c r="E10" s="246" t="s">
        <v>1748</v>
      </c>
      <c r="F10" s="246" t="s">
        <v>1745</v>
      </c>
      <c r="G10" s="148" t="s">
        <v>1641</v>
      </c>
    </row>
    <row r="11" spans="1:7" ht="24">
      <c r="A11" s="245" t="s">
        <v>1749</v>
      </c>
      <c r="B11" s="246" t="s">
        <v>1750</v>
      </c>
      <c r="C11" s="246" t="s">
        <v>1751</v>
      </c>
      <c r="D11" s="246" t="s">
        <v>1751</v>
      </c>
      <c r="E11" s="246" t="s">
        <v>1752</v>
      </c>
      <c r="F11" s="246" t="s">
        <v>1749</v>
      </c>
      <c r="G11" s="148" t="s">
        <v>1641</v>
      </c>
    </row>
    <row r="12" spans="1:7" ht="24">
      <c r="A12" s="245" t="s">
        <v>1753</v>
      </c>
      <c r="B12" s="246" t="s">
        <v>1754</v>
      </c>
      <c r="C12" s="246" t="s">
        <v>1755</v>
      </c>
      <c r="D12" s="246" t="s">
        <v>1755</v>
      </c>
      <c r="E12" s="246" t="s">
        <v>1756</v>
      </c>
      <c r="F12" s="246" t="s">
        <v>1753</v>
      </c>
      <c r="G12" s="148" t="s">
        <v>1641</v>
      </c>
    </row>
    <row r="13" spans="1:7" ht="24">
      <c r="A13" s="245" t="s">
        <v>1757</v>
      </c>
      <c r="B13" s="246" t="s">
        <v>1758</v>
      </c>
      <c r="C13" s="246" t="s">
        <v>1759</v>
      </c>
      <c r="D13" s="246" t="s">
        <v>1759</v>
      </c>
      <c r="E13" s="246" t="s">
        <v>1760</v>
      </c>
      <c r="F13" s="246" t="s">
        <v>1757</v>
      </c>
      <c r="G13" s="148" t="s">
        <v>1641</v>
      </c>
    </row>
    <row r="14" spans="1:7" ht="24">
      <c r="A14" s="245" t="s">
        <v>1761</v>
      </c>
      <c r="B14" s="246" t="s">
        <v>1762</v>
      </c>
      <c r="C14" s="246" t="s">
        <v>1763</v>
      </c>
      <c r="D14" s="246" t="s">
        <v>1763</v>
      </c>
      <c r="E14" s="246" t="s">
        <v>1764</v>
      </c>
      <c r="F14" s="246" t="s">
        <v>1761</v>
      </c>
      <c r="G14" s="148"/>
    </row>
    <row r="15" spans="1:7" ht="24">
      <c r="A15" s="245" t="s">
        <v>1765</v>
      </c>
      <c r="B15" s="246" t="s">
        <v>1766</v>
      </c>
      <c r="C15" s="246" t="s">
        <v>1767</v>
      </c>
      <c r="D15" s="246" t="s">
        <v>1767</v>
      </c>
      <c r="E15" s="246" t="s">
        <v>1768</v>
      </c>
      <c r="F15" s="246" t="s">
        <v>1765</v>
      </c>
      <c r="G15" s="148"/>
    </row>
    <row r="16" spans="1:7" ht="24">
      <c r="A16" s="245" t="s">
        <v>1769</v>
      </c>
      <c r="B16" s="246" t="s">
        <v>1770</v>
      </c>
      <c r="C16" s="246" t="s">
        <v>1771</v>
      </c>
      <c r="D16" s="246" t="s">
        <v>1771</v>
      </c>
      <c r="E16" s="246" t="s">
        <v>1772</v>
      </c>
      <c r="F16" s="246" t="s">
        <v>1769</v>
      </c>
      <c r="G16" s="148"/>
    </row>
    <row r="17" spans="1:7" ht="24">
      <c r="A17" s="245" t="s">
        <v>1773</v>
      </c>
      <c r="B17" s="246" t="s">
        <v>1774</v>
      </c>
      <c r="C17" s="246" t="s">
        <v>1775</v>
      </c>
      <c r="D17" s="246" t="s">
        <v>1775</v>
      </c>
      <c r="E17" s="246" t="s">
        <v>1776</v>
      </c>
      <c r="F17" s="246" t="s">
        <v>1773</v>
      </c>
      <c r="G17" s="148"/>
    </row>
    <row r="18" spans="1:7">
      <c r="A18" s="245"/>
      <c r="B18" s="246"/>
      <c r="C18" s="246"/>
      <c r="D18" s="246"/>
      <c r="E18" s="246"/>
      <c r="F18" s="246"/>
    </row>
    <row r="19" spans="1:7">
      <c r="A19" s="245"/>
      <c r="B19" s="246"/>
      <c r="C19" s="246"/>
      <c r="D19" s="246"/>
      <c r="E19" s="246"/>
      <c r="F19" s="246"/>
      <c r="G19" s="217"/>
    </row>
    <row r="20" spans="1:7">
      <c r="A20" s="70"/>
      <c r="B20" s="70"/>
      <c r="C20" s="70"/>
      <c r="D20" s="70"/>
      <c r="E20" s="70"/>
      <c r="F20" s="70"/>
      <c r="G20" s="70" t="s">
        <v>1459</v>
      </c>
    </row>
    <row r="21" spans="1:7" ht="24">
      <c r="A21" s="302" t="s">
        <v>1452</v>
      </c>
      <c r="B21" s="302"/>
      <c r="C21" s="302"/>
      <c r="D21" s="302"/>
      <c r="E21" s="302"/>
      <c r="F21" s="302"/>
      <c r="G21" s="85" t="s">
        <v>1740</v>
      </c>
    </row>
    <row r="22" spans="1:7" ht="29.1">
      <c r="A22" s="70" t="s">
        <v>1453</v>
      </c>
      <c r="B22" s="70" t="s">
        <v>1454</v>
      </c>
      <c r="C22" s="70" t="s">
        <v>1455</v>
      </c>
      <c r="D22" s="70" t="s">
        <v>1456</v>
      </c>
      <c r="E22" s="70" t="s">
        <v>1457</v>
      </c>
      <c r="F22" s="70" t="s">
        <v>1777</v>
      </c>
      <c r="G22" s="85" t="s">
        <v>1585</v>
      </c>
    </row>
    <row r="23" spans="1:7" ht="24">
      <c r="A23" s="247" t="s">
        <v>1460</v>
      </c>
      <c r="B23" s="246" t="s">
        <v>1778</v>
      </c>
      <c r="C23" s="246" t="s">
        <v>1779</v>
      </c>
      <c r="D23" s="246" t="s">
        <v>1780</v>
      </c>
      <c r="E23" s="246" t="s">
        <v>1781</v>
      </c>
      <c r="F23" s="246" t="s">
        <v>1342</v>
      </c>
      <c r="G23" s="85" t="s">
        <v>1591</v>
      </c>
    </row>
    <row r="24" spans="1:7" ht="36">
      <c r="A24" s="247" t="s">
        <v>915</v>
      </c>
      <c r="B24" s="246" t="s">
        <v>1782</v>
      </c>
      <c r="C24" s="246" t="s">
        <v>1783</v>
      </c>
      <c r="D24" s="246" t="s">
        <v>1784</v>
      </c>
      <c r="E24" s="246" t="s">
        <v>1785</v>
      </c>
      <c r="F24" s="246" t="s">
        <v>1786</v>
      </c>
    </row>
    <row r="25" spans="1:7" ht="36">
      <c r="A25" s="247" t="s">
        <v>1472</v>
      </c>
      <c r="B25" s="246" t="s">
        <v>1787</v>
      </c>
      <c r="C25" s="246" t="s">
        <v>1788</v>
      </c>
      <c r="D25" s="246" t="s">
        <v>1789</v>
      </c>
      <c r="E25" s="246" t="s">
        <v>1790</v>
      </c>
      <c r="F25" s="246" t="s">
        <v>1791</v>
      </c>
      <c r="G25" s="217"/>
    </row>
    <row r="26" spans="1:7" ht="14.45" customHeight="1">
      <c r="A26" s="214"/>
      <c r="B26" s="214"/>
      <c r="C26" s="214"/>
      <c r="D26" s="214"/>
      <c r="E26" s="214"/>
      <c r="F26" s="214"/>
      <c r="G26" s="214"/>
    </row>
    <row r="27" spans="1:7">
      <c r="A27" s="302" t="s">
        <v>1479</v>
      </c>
      <c r="B27" s="302"/>
      <c r="C27" s="302"/>
      <c r="D27" s="302"/>
      <c r="E27" s="302"/>
      <c r="F27" s="302"/>
      <c r="G27" s="214"/>
    </row>
    <row r="28" spans="1:7" ht="32.1" customHeight="1">
      <c r="A28" s="214" t="s">
        <v>1792</v>
      </c>
      <c r="B28" s="214"/>
      <c r="C28" s="214"/>
      <c r="D28" s="214"/>
      <c r="E28" s="214"/>
      <c r="F28" s="214"/>
      <c r="G28" s="214"/>
    </row>
    <row r="29" spans="1:7" ht="32.1" customHeight="1">
      <c r="A29" s="317"/>
      <c r="B29" s="317"/>
      <c r="C29" s="317"/>
      <c r="D29" s="317"/>
      <c r="E29" s="317"/>
      <c r="F29" s="317"/>
    </row>
  </sheetData>
  <mergeCells count="8">
    <mergeCell ref="A29:F29"/>
    <mergeCell ref="A1:F1"/>
    <mergeCell ref="A2:F2"/>
    <mergeCell ref="A4:F4"/>
    <mergeCell ref="A5:F6"/>
    <mergeCell ref="A8:F8"/>
    <mergeCell ref="A21:F21"/>
    <mergeCell ref="A27:F27"/>
  </mergeCells>
  <pageMargins left="0.7" right="0.7" top="0.75" bottom="0.75" header="0.3" footer="0.3"/>
  <headerFooter>
    <oddFooter>&amp;L_x000D_&amp;1#&amp;"Aptos"&amp;10&amp;K000000 Confidential-Internal</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8D70E-81D3-4504-B24D-52FD85F272DF}">
  <dimension ref="A1:G29"/>
  <sheetViews>
    <sheetView topLeftCell="A22" workbookViewId="0">
      <selection activeCell="I11" sqref="I11:J11"/>
    </sheetView>
  </sheetViews>
  <sheetFormatPr defaultRowHeight="14.45"/>
  <cols>
    <col min="1" max="1" width="20" customWidth="1"/>
    <col min="2" max="2" width="25.42578125" customWidth="1"/>
    <col min="3" max="3" width="19.140625" customWidth="1"/>
    <col min="4" max="4" width="22.7109375" customWidth="1"/>
    <col min="5" max="6" width="25.42578125" customWidth="1"/>
    <col min="7" max="7" width="23.85546875" bestFit="1" customWidth="1"/>
  </cols>
  <sheetData>
    <row r="1" spans="1:7" ht="30" customHeight="1">
      <c r="A1" s="298" t="s">
        <v>1793</v>
      </c>
      <c r="B1" s="298"/>
      <c r="C1" s="298"/>
      <c r="D1" s="298"/>
      <c r="E1" s="298"/>
      <c r="F1" s="298"/>
      <c r="G1" s="213"/>
    </row>
    <row r="2" spans="1:7" ht="14.45" customHeight="1">
      <c r="A2" s="321" t="s">
        <v>1743</v>
      </c>
      <c r="B2" s="321"/>
      <c r="C2" s="321"/>
      <c r="D2" s="321"/>
      <c r="E2" s="321"/>
      <c r="F2" s="321"/>
      <c r="G2" s="215"/>
    </row>
    <row r="3" spans="1:7">
      <c r="A3" s="244"/>
      <c r="B3" s="244"/>
      <c r="C3" s="244"/>
      <c r="D3" s="244"/>
      <c r="E3" s="244"/>
      <c r="F3" s="244"/>
    </row>
    <row r="4" spans="1:7">
      <c r="A4" s="302" t="s">
        <v>1410</v>
      </c>
      <c r="B4" s="302"/>
      <c r="C4" s="302"/>
      <c r="D4" s="302"/>
      <c r="E4" s="302"/>
      <c r="F4" s="302"/>
      <c r="G4" s="217"/>
    </row>
    <row r="5" spans="1:7" ht="30" customHeight="1">
      <c r="A5" s="320" t="s">
        <v>1794</v>
      </c>
      <c r="B5" s="320"/>
      <c r="C5" s="320"/>
      <c r="D5" s="320"/>
      <c r="E5" s="320"/>
      <c r="F5" s="320"/>
      <c r="G5" s="216"/>
    </row>
    <row r="6" spans="1:7" ht="30" customHeight="1">
      <c r="A6" s="320"/>
      <c r="B6" s="320"/>
      <c r="C6" s="320"/>
      <c r="D6" s="320"/>
      <c r="E6" s="320"/>
      <c r="F6" s="320"/>
      <c r="G6" s="216"/>
    </row>
    <row r="7" spans="1:7">
      <c r="A7" s="244"/>
      <c r="B7" s="244"/>
      <c r="C7" s="244"/>
      <c r="D7" s="244"/>
      <c r="E7" s="244"/>
      <c r="F7" s="244"/>
    </row>
    <row r="8" spans="1:7">
      <c r="A8" s="302" t="s">
        <v>1412</v>
      </c>
      <c r="B8" s="302"/>
      <c r="C8" s="302"/>
      <c r="D8" s="302"/>
      <c r="E8" s="302"/>
      <c r="F8" s="302"/>
      <c r="G8" s="217"/>
    </row>
    <row r="9" spans="1:7">
      <c r="A9" s="70" t="s">
        <v>143</v>
      </c>
      <c r="B9" s="70" t="s">
        <v>1413</v>
      </c>
      <c r="C9" s="70" t="s">
        <v>1414</v>
      </c>
      <c r="D9" s="70" t="s">
        <v>1255</v>
      </c>
      <c r="E9" s="70" t="s">
        <v>1415</v>
      </c>
      <c r="F9" s="70" t="s">
        <v>1416</v>
      </c>
      <c r="G9" s="70" t="s">
        <v>1417</v>
      </c>
    </row>
    <row r="10" spans="1:7" ht="24">
      <c r="A10" s="245" t="s">
        <v>1795</v>
      </c>
      <c r="B10" s="246" t="s">
        <v>1796</v>
      </c>
      <c r="C10" s="246" t="s">
        <v>1797</v>
      </c>
      <c r="D10" s="246" t="s">
        <v>1797</v>
      </c>
      <c r="E10" s="246" t="s">
        <v>1798</v>
      </c>
      <c r="F10" s="246" t="s">
        <v>1795</v>
      </c>
      <c r="G10" s="148" t="s">
        <v>1641</v>
      </c>
    </row>
    <row r="11" spans="1:7" ht="24">
      <c r="A11" s="245" t="s">
        <v>1799</v>
      </c>
      <c r="B11" s="246" t="s">
        <v>1800</v>
      </c>
      <c r="C11" s="246" t="s">
        <v>1755</v>
      </c>
      <c r="D11" s="246" t="s">
        <v>1755</v>
      </c>
      <c r="E11" s="246" t="s">
        <v>1756</v>
      </c>
      <c r="F11" s="246" t="s">
        <v>1799</v>
      </c>
      <c r="G11" s="148" t="s">
        <v>1641</v>
      </c>
    </row>
    <row r="12" spans="1:7" ht="24">
      <c r="A12" s="245" t="s">
        <v>1801</v>
      </c>
      <c r="B12" s="246" t="s">
        <v>1802</v>
      </c>
      <c r="C12" s="246" t="s">
        <v>1803</v>
      </c>
      <c r="D12" s="246" t="s">
        <v>1803</v>
      </c>
      <c r="E12" s="246" t="s">
        <v>1804</v>
      </c>
      <c r="F12" s="246" t="s">
        <v>1801</v>
      </c>
      <c r="G12" s="148" t="s">
        <v>1641</v>
      </c>
    </row>
    <row r="13" spans="1:7" ht="24">
      <c r="A13" s="245" t="s">
        <v>1805</v>
      </c>
      <c r="B13" s="246" t="s">
        <v>1806</v>
      </c>
      <c r="C13" s="246" t="s">
        <v>1807</v>
      </c>
      <c r="D13" s="246" t="s">
        <v>1807</v>
      </c>
      <c r="E13" s="246" t="s">
        <v>1808</v>
      </c>
      <c r="F13" s="246" t="s">
        <v>1805</v>
      </c>
      <c r="G13" s="148" t="s">
        <v>1641</v>
      </c>
    </row>
    <row r="14" spans="1:7" ht="24">
      <c r="A14" s="245" t="s">
        <v>1809</v>
      </c>
      <c r="B14" s="246" t="s">
        <v>1810</v>
      </c>
      <c r="C14" s="246" t="s">
        <v>1811</v>
      </c>
      <c r="D14" s="246" t="s">
        <v>1811</v>
      </c>
      <c r="E14" s="246" t="s">
        <v>1812</v>
      </c>
      <c r="F14" s="246" t="s">
        <v>1809</v>
      </c>
      <c r="G14" s="148"/>
    </row>
    <row r="15" spans="1:7" ht="36">
      <c r="A15" s="245" t="s">
        <v>1813</v>
      </c>
      <c r="B15" s="246" t="s">
        <v>1814</v>
      </c>
      <c r="C15" s="246" t="s">
        <v>1815</v>
      </c>
      <c r="D15" s="246" t="s">
        <v>1815</v>
      </c>
      <c r="E15" s="246" t="s">
        <v>1816</v>
      </c>
      <c r="F15" s="246" t="s">
        <v>1813</v>
      </c>
      <c r="G15" s="148"/>
    </row>
    <row r="16" spans="1:7" ht="24">
      <c r="A16" s="245" t="s">
        <v>1817</v>
      </c>
      <c r="B16" s="246" t="s">
        <v>1818</v>
      </c>
      <c r="C16" s="246" t="s">
        <v>1819</v>
      </c>
      <c r="D16" s="246" t="s">
        <v>1819</v>
      </c>
      <c r="E16" s="246" t="s">
        <v>1820</v>
      </c>
      <c r="F16" s="246" t="s">
        <v>1817</v>
      </c>
      <c r="G16" s="148"/>
    </row>
    <row r="17" spans="1:7">
      <c r="A17" s="245"/>
      <c r="B17" s="246"/>
      <c r="C17" s="246"/>
      <c r="D17" s="246"/>
      <c r="E17" s="246"/>
      <c r="F17" s="246"/>
      <c r="G17" s="148"/>
    </row>
    <row r="18" spans="1:7">
      <c r="A18" s="245"/>
      <c r="B18" s="246"/>
      <c r="C18" s="246"/>
      <c r="D18" s="246"/>
      <c r="E18" s="246"/>
      <c r="F18" s="246"/>
    </row>
    <row r="19" spans="1:7">
      <c r="A19" s="245"/>
      <c r="B19" s="246"/>
      <c r="C19" s="246"/>
      <c r="D19" s="246"/>
      <c r="E19" s="246"/>
      <c r="F19" s="246"/>
      <c r="G19" s="217"/>
    </row>
    <row r="20" spans="1:7">
      <c r="A20" s="70"/>
      <c r="B20" s="70"/>
      <c r="C20" s="70"/>
      <c r="D20" s="70"/>
      <c r="E20" s="70"/>
      <c r="F20" s="70"/>
      <c r="G20" s="70" t="s">
        <v>1459</v>
      </c>
    </row>
    <row r="21" spans="1:7" ht="24">
      <c r="A21" s="302" t="s">
        <v>1452</v>
      </c>
      <c r="B21" s="302"/>
      <c r="C21" s="302"/>
      <c r="D21" s="302"/>
      <c r="E21" s="302"/>
      <c r="F21" s="302"/>
      <c r="G21" s="85" t="s">
        <v>1740</v>
      </c>
    </row>
    <row r="22" spans="1:7" ht="29.1">
      <c r="A22" s="70" t="s">
        <v>1453</v>
      </c>
      <c r="B22" s="70" t="s">
        <v>1454</v>
      </c>
      <c r="C22" s="70" t="s">
        <v>1455</v>
      </c>
      <c r="D22" s="70" t="s">
        <v>1456</v>
      </c>
      <c r="E22" s="70" t="s">
        <v>1457</v>
      </c>
      <c r="F22" s="70" t="s">
        <v>1777</v>
      </c>
      <c r="G22" s="85" t="s">
        <v>1585</v>
      </c>
    </row>
    <row r="23" spans="1:7" ht="36">
      <c r="A23" s="247" t="s">
        <v>1460</v>
      </c>
      <c r="B23" s="246" t="s">
        <v>1821</v>
      </c>
      <c r="C23" s="246" t="s">
        <v>1822</v>
      </c>
      <c r="D23" s="246" t="s">
        <v>1823</v>
      </c>
      <c r="E23" s="246" t="s">
        <v>1824</v>
      </c>
      <c r="F23" s="246" t="s">
        <v>1349</v>
      </c>
      <c r="G23" s="85" t="s">
        <v>1591</v>
      </c>
    </row>
    <row r="24" spans="1:7" ht="36">
      <c r="A24" s="247" t="s">
        <v>915</v>
      </c>
      <c r="B24" s="246" t="s">
        <v>1825</v>
      </c>
      <c r="C24" s="246" t="s">
        <v>1826</v>
      </c>
      <c r="D24" s="246" t="s">
        <v>1827</v>
      </c>
      <c r="E24" s="246" t="s">
        <v>1828</v>
      </c>
      <c r="F24" s="246" t="s">
        <v>1829</v>
      </c>
    </row>
    <row r="25" spans="1:7" ht="24">
      <c r="A25" s="247" t="s">
        <v>1472</v>
      </c>
      <c r="B25" s="246" t="s">
        <v>1830</v>
      </c>
      <c r="C25" s="246" t="s">
        <v>1831</v>
      </c>
      <c r="D25" s="246" t="s">
        <v>1832</v>
      </c>
      <c r="E25" s="246" t="s">
        <v>1833</v>
      </c>
      <c r="F25" s="246" t="s">
        <v>1834</v>
      </c>
      <c r="G25" s="217"/>
    </row>
    <row r="26" spans="1:7" ht="14.45" customHeight="1">
      <c r="A26" s="214"/>
      <c r="B26" s="214"/>
      <c r="C26" s="214"/>
      <c r="D26" s="214"/>
      <c r="E26" s="214"/>
      <c r="F26" s="214"/>
      <c r="G26" s="214"/>
    </row>
    <row r="27" spans="1:7">
      <c r="A27" s="302" t="s">
        <v>1479</v>
      </c>
      <c r="B27" s="302"/>
      <c r="C27" s="302"/>
      <c r="D27" s="302"/>
      <c r="E27" s="302"/>
      <c r="F27" s="302"/>
      <c r="G27" s="214"/>
    </row>
    <row r="28" spans="1:7" ht="32.1" customHeight="1">
      <c r="A28" s="214" t="s">
        <v>1835</v>
      </c>
      <c r="B28" s="214"/>
      <c r="C28" s="214"/>
      <c r="D28" s="214"/>
      <c r="E28" s="214"/>
      <c r="F28" s="214"/>
      <c r="G28" s="214"/>
    </row>
    <row r="29" spans="1:7" ht="32.1" customHeight="1">
      <c r="A29" s="317"/>
      <c r="B29" s="317"/>
      <c r="C29" s="317"/>
      <c r="D29" s="317"/>
      <c r="E29" s="317"/>
      <c r="F29" s="317"/>
    </row>
  </sheetData>
  <mergeCells count="8">
    <mergeCell ref="A29:F29"/>
    <mergeCell ref="A1:F1"/>
    <mergeCell ref="A2:F2"/>
    <mergeCell ref="A4:F4"/>
    <mergeCell ref="A5:F6"/>
    <mergeCell ref="A8:F8"/>
    <mergeCell ref="A21:F21"/>
    <mergeCell ref="A27:F27"/>
  </mergeCells>
  <pageMargins left="0.7" right="0.7" top="0.75" bottom="0.75" header="0.3" footer="0.3"/>
  <headerFooter>
    <oddFooter>&amp;L_x000D_&amp;1#&amp;"Aptos"&amp;10&amp;K000000 Confidential-Internal</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6B288-F453-40AB-B8A1-A094723B04EA}">
  <dimension ref="A1:G29"/>
  <sheetViews>
    <sheetView topLeftCell="A22" workbookViewId="0">
      <selection activeCell="I11" sqref="I11:J11"/>
    </sheetView>
  </sheetViews>
  <sheetFormatPr defaultRowHeight="14.45"/>
  <cols>
    <col min="1" max="1" width="20" customWidth="1"/>
    <col min="2" max="2" width="25.42578125" customWidth="1"/>
    <col min="3" max="3" width="19.140625" customWidth="1"/>
    <col min="4" max="4" width="22.7109375" customWidth="1"/>
    <col min="5" max="6" width="25.42578125" customWidth="1"/>
    <col min="7" max="7" width="23.85546875" bestFit="1" customWidth="1"/>
  </cols>
  <sheetData>
    <row r="1" spans="1:7" ht="30" customHeight="1">
      <c r="A1" s="298" t="s">
        <v>1836</v>
      </c>
      <c r="B1" s="298"/>
      <c r="C1" s="298"/>
      <c r="D1" s="298"/>
      <c r="E1" s="298"/>
      <c r="F1" s="298"/>
      <c r="G1" s="213"/>
    </row>
    <row r="2" spans="1:7" ht="14.45" customHeight="1">
      <c r="A2" s="321" t="s">
        <v>1743</v>
      </c>
      <c r="B2" s="321"/>
      <c r="C2" s="321"/>
      <c r="D2" s="321"/>
      <c r="E2" s="321"/>
      <c r="F2" s="321"/>
      <c r="G2" s="215"/>
    </row>
    <row r="3" spans="1:7">
      <c r="A3" s="244"/>
      <c r="B3" s="244"/>
      <c r="C3" s="244"/>
      <c r="D3" s="244"/>
      <c r="E3" s="244"/>
      <c r="F3" s="244"/>
    </row>
    <row r="4" spans="1:7">
      <c r="A4" s="302" t="s">
        <v>1410</v>
      </c>
      <c r="B4" s="302"/>
      <c r="C4" s="302"/>
      <c r="D4" s="302"/>
      <c r="E4" s="302"/>
      <c r="F4" s="302"/>
      <c r="G4" s="217"/>
    </row>
    <row r="5" spans="1:7" ht="30" customHeight="1">
      <c r="A5" s="320" t="s">
        <v>1837</v>
      </c>
      <c r="B5" s="320"/>
      <c r="C5" s="320"/>
      <c r="D5" s="320"/>
      <c r="E5" s="320"/>
      <c r="F5" s="320"/>
      <c r="G5" s="216"/>
    </row>
    <row r="6" spans="1:7" ht="30" customHeight="1">
      <c r="A6" s="320"/>
      <c r="B6" s="320"/>
      <c r="C6" s="320"/>
      <c r="D6" s="320"/>
      <c r="E6" s="320"/>
      <c r="F6" s="320"/>
      <c r="G6" s="216"/>
    </row>
    <row r="7" spans="1:7">
      <c r="A7" s="244"/>
      <c r="B7" s="244"/>
      <c r="C7" s="244"/>
      <c r="D7" s="244"/>
      <c r="E7" s="244"/>
      <c r="F7" s="244"/>
    </row>
    <row r="8" spans="1:7">
      <c r="A8" s="302" t="s">
        <v>1412</v>
      </c>
      <c r="B8" s="302"/>
      <c r="C8" s="302"/>
      <c r="D8" s="302"/>
      <c r="E8" s="302"/>
      <c r="F8" s="302"/>
      <c r="G8" s="217"/>
    </row>
    <row r="9" spans="1:7">
      <c r="A9" s="70" t="s">
        <v>143</v>
      </c>
      <c r="B9" s="70" t="s">
        <v>1413</v>
      </c>
      <c r="C9" s="70" t="s">
        <v>1414</v>
      </c>
      <c r="D9" s="70" t="s">
        <v>1255</v>
      </c>
      <c r="E9" s="70" t="s">
        <v>1415</v>
      </c>
      <c r="F9" s="70" t="s">
        <v>1416</v>
      </c>
      <c r="G9" s="70" t="s">
        <v>1417</v>
      </c>
    </row>
    <row r="10" spans="1:7" ht="24">
      <c r="A10" s="245" t="s">
        <v>1838</v>
      </c>
      <c r="B10" s="246" t="s">
        <v>1839</v>
      </c>
      <c r="C10" s="246" t="s">
        <v>1840</v>
      </c>
      <c r="D10" s="246" t="s">
        <v>1840</v>
      </c>
      <c r="E10" s="246" t="s">
        <v>1841</v>
      </c>
      <c r="F10" s="246" t="s">
        <v>1838</v>
      </c>
      <c r="G10" s="148" t="s">
        <v>1641</v>
      </c>
    </row>
    <row r="11" spans="1:7" ht="24">
      <c r="A11" s="245" t="s">
        <v>1842</v>
      </c>
      <c r="B11" s="246" t="s">
        <v>1843</v>
      </c>
      <c r="C11" s="246" t="s">
        <v>1844</v>
      </c>
      <c r="D11" s="246" t="s">
        <v>1844</v>
      </c>
      <c r="E11" s="246" t="s">
        <v>1845</v>
      </c>
      <c r="F11" s="246" t="s">
        <v>1842</v>
      </c>
      <c r="G11" s="148" t="s">
        <v>1641</v>
      </c>
    </row>
    <row r="12" spans="1:7" ht="24">
      <c r="A12" s="245" t="s">
        <v>1846</v>
      </c>
      <c r="B12" s="246" t="s">
        <v>1847</v>
      </c>
      <c r="C12" s="246" t="s">
        <v>1848</v>
      </c>
      <c r="D12" s="246" t="s">
        <v>1848</v>
      </c>
      <c r="E12" s="246" t="s">
        <v>1849</v>
      </c>
      <c r="F12" s="246" t="s">
        <v>1846</v>
      </c>
      <c r="G12" s="148" t="s">
        <v>1641</v>
      </c>
    </row>
    <row r="13" spans="1:7" ht="24">
      <c r="A13" s="245" t="s">
        <v>1850</v>
      </c>
      <c r="B13" s="246" t="s">
        <v>1851</v>
      </c>
      <c r="C13" s="246" t="s">
        <v>1443</v>
      </c>
      <c r="D13" s="246" t="s">
        <v>1443</v>
      </c>
      <c r="E13" s="246" t="s">
        <v>1852</v>
      </c>
      <c r="F13" s="246" t="s">
        <v>1850</v>
      </c>
      <c r="G13" s="148" t="s">
        <v>1641</v>
      </c>
    </row>
    <row r="14" spans="1:7" ht="24">
      <c r="A14" s="245" t="s">
        <v>1853</v>
      </c>
      <c r="B14" s="246" t="s">
        <v>1854</v>
      </c>
      <c r="C14" s="246" t="s">
        <v>1855</v>
      </c>
      <c r="D14" s="246" t="s">
        <v>1855</v>
      </c>
      <c r="E14" s="246" t="s">
        <v>1856</v>
      </c>
      <c r="F14" s="246" t="s">
        <v>1853</v>
      </c>
      <c r="G14" s="148"/>
    </row>
    <row r="15" spans="1:7" ht="24">
      <c r="A15" s="245" t="s">
        <v>1857</v>
      </c>
      <c r="B15" s="246" t="s">
        <v>1858</v>
      </c>
      <c r="C15" s="246" t="s">
        <v>1859</v>
      </c>
      <c r="D15" s="246" t="s">
        <v>1859</v>
      </c>
      <c r="E15" s="246" t="s">
        <v>1860</v>
      </c>
      <c r="F15" s="246" t="s">
        <v>1857</v>
      </c>
      <c r="G15" s="148"/>
    </row>
    <row r="16" spans="1:7" ht="24">
      <c r="A16" s="245" t="s">
        <v>1861</v>
      </c>
      <c r="B16" s="246" t="s">
        <v>1862</v>
      </c>
      <c r="C16" s="246" t="s">
        <v>1863</v>
      </c>
      <c r="D16" s="246" t="s">
        <v>1863</v>
      </c>
      <c r="E16" s="246" t="s">
        <v>1864</v>
      </c>
      <c r="F16" s="246" t="s">
        <v>1861</v>
      </c>
      <c r="G16" s="148"/>
    </row>
    <row r="17" spans="1:7">
      <c r="A17" s="245"/>
      <c r="B17" s="246"/>
      <c r="C17" s="246"/>
      <c r="D17" s="246"/>
      <c r="E17" s="246"/>
      <c r="F17" s="246"/>
      <c r="G17" s="148"/>
    </row>
    <row r="18" spans="1:7">
      <c r="A18" s="245"/>
      <c r="B18" s="246"/>
      <c r="C18" s="246"/>
      <c r="D18" s="246"/>
      <c r="E18" s="246"/>
      <c r="F18" s="246"/>
    </row>
    <row r="19" spans="1:7">
      <c r="A19" s="245"/>
      <c r="B19" s="246"/>
      <c r="C19" s="246"/>
      <c r="D19" s="246"/>
      <c r="E19" s="246"/>
      <c r="F19" s="246"/>
      <c r="G19" s="217"/>
    </row>
    <row r="20" spans="1:7">
      <c r="A20" s="70"/>
      <c r="B20" s="70"/>
      <c r="C20" s="70"/>
      <c r="D20" s="70"/>
      <c r="E20" s="70"/>
      <c r="F20" s="70"/>
      <c r="G20" s="70" t="s">
        <v>1459</v>
      </c>
    </row>
    <row r="21" spans="1:7" ht="24">
      <c r="A21" s="302" t="s">
        <v>1452</v>
      </c>
      <c r="B21" s="302"/>
      <c r="C21" s="302"/>
      <c r="D21" s="302"/>
      <c r="E21" s="302"/>
      <c r="F21" s="302"/>
      <c r="G21" s="85" t="s">
        <v>1740</v>
      </c>
    </row>
    <row r="22" spans="1:7" ht="29.1">
      <c r="A22" s="70" t="s">
        <v>1453</v>
      </c>
      <c r="B22" s="70" t="s">
        <v>1454</v>
      </c>
      <c r="C22" s="70" t="s">
        <v>1455</v>
      </c>
      <c r="D22" s="70" t="s">
        <v>1456</v>
      </c>
      <c r="E22" s="70" t="s">
        <v>1457</v>
      </c>
      <c r="F22" s="70" t="s">
        <v>1777</v>
      </c>
      <c r="G22" s="85" t="s">
        <v>1585</v>
      </c>
    </row>
    <row r="23" spans="1:7" ht="24">
      <c r="A23" s="247" t="s">
        <v>1460</v>
      </c>
      <c r="B23" s="246" t="s">
        <v>1865</v>
      </c>
      <c r="C23" s="246" t="s">
        <v>1866</v>
      </c>
      <c r="D23" s="246" t="s">
        <v>1867</v>
      </c>
      <c r="E23" s="246" t="s">
        <v>1868</v>
      </c>
      <c r="F23" s="246" t="s">
        <v>1356</v>
      </c>
      <c r="G23" s="85" t="s">
        <v>1591</v>
      </c>
    </row>
    <row r="24" spans="1:7" ht="36">
      <c r="A24" s="247" t="s">
        <v>915</v>
      </c>
      <c r="B24" s="246" t="s">
        <v>1869</v>
      </c>
      <c r="C24" s="246" t="s">
        <v>1870</v>
      </c>
      <c r="D24" s="246" t="s">
        <v>1871</v>
      </c>
      <c r="E24" s="246" t="s">
        <v>1872</v>
      </c>
      <c r="F24" s="246" t="s">
        <v>1873</v>
      </c>
    </row>
    <row r="25" spans="1:7" ht="36">
      <c r="A25" s="247" t="s">
        <v>1472</v>
      </c>
      <c r="B25" s="246" t="s">
        <v>1874</v>
      </c>
      <c r="C25" s="246" t="s">
        <v>1875</v>
      </c>
      <c r="D25" s="246" t="s">
        <v>1876</v>
      </c>
      <c r="E25" s="246" t="s">
        <v>1877</v>
      </c>
      <c r="F25" s="246" t="s">
        <v>1878</v>
      </c>
      <c r="G25" s="217"/>
    </row>
    <row r="26" spans="1:7" ht="14.45" customHeight="1">
      <c r="A26" s="214"/>
      <c r="B26" s="214"/>
      <c r="C26" s="214"/>
      <c r="D26" s="214"/>
      <c r="E26" s="214"/>
      <c r="F26" s="214"/>
      <c r="G26" s="214"/>
    </row>
    <row r="27" spans="1:7">
      <c r="A27" s="302" t="s">
        <v>1479</v>
      </c>
      <c r="B27" s="302"/>
      <c r="C27" s="302"/>
      <c r="D27" s="302"/>
      <c r="E27" s="302"/>
      <c r="F27" s="302"/>
      <c r="G27" s="214"/>
    </row>
    <row r="28" spans="1:7" ht="32.1" customHeight="1">
      <c r="A28" s="214" t="s">
        <v>1879</v>
      </c>
      <c r="B28" s="214"/>
      <c r="C28" s="214"/>
      <c r="D28" s="214"/>
      <c r="E28" s="214"/>
      <c r="F28" s="214"/>
      <c r="G28" s="214"/>
    </row>
    <row r="29" spans="1:7" ht="32.1" customHeight="1">
      <c r="A29" s="317"/>
      <c r="B29" s="317"/>
      <c r="C29" s="317"/>
      <c r="D29" s="317"/>
      <c r="E29" s="317"/>
      <c r="F29" s="317"/>
    </row>
  </sheetData>
  <mergeCells count="8">
    <mergeCell ref="A29:F29"/>
    <mergeCell ref="A1:F1"/>
    <mergeCell ref="A2:F2"/>
    <mergeCell ref="A4:F4"/>
    <mergeCell ref="A5:F6"/>
    <mergeCell ref="A8:F8"/>
    <mergeCell ref="A21:F21"/>
    <mergeCell ref="A27:F27"/>
  </mergeCells>
  <pageMargins left="0.7" right="0.7" top="0.75" bottom="0.75" header="0.3" footer="0.3"/>
  <headerFooter>
    <oddFooter>&amp;L_x000D_&amp;1#&amp;"Aptos"&amp;10&amp;K000000 Confidential-Internal</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3CCD6-B1BD-46C9-9F61-09CB9DFBB2A1}">
  <dimension ref="A1:G29"/>
  <sheetViews>
    <sheetView workbookViewId="0">
      <selection activeCell="I11" sqref="I11:J11"/>
    </sheetView>
  </sheetViews>
  <sheetFormatPr defaultRowHeight="14.45"/>
  <cols>
    <col min="1" max="1" width="20" customWidth="1"/>
    <col min="2" max="2" width="25.42578125" customWidth="1"/>
    <col min="3" max="3" width="19.140625" customWidth="1"/>
    <col min="4" max="4" width="22.7109375" customWidth="1"/>
    <col min="5" max="6" width="25.42578125" customWidth="1"/>
    <col min="7" max="7" width="23.85546875" bestFit="1" customWidth="1"/>
  </cols>
  <sheetData>
    <row r="1" spans="1:7" ht="30" customHeight="1">
      <c r="A1" s="298" t="s">
        <v>1880</v>
      </c>
      <c r="B1" s="298"/>
      <c r="C1" s="298"/>
      <c r="D1" s="298"/>
      <c r="E1" s="298"/>
      <c r="F1" s="298"/>
      <c r="G1" s="213"/>
    </row>
    <row r="2" spans="1:7" ht="14.45" customHeight="1">
      <c r="A2" s="321" t="s">
        <v>1743</v>
      </c>
      <c r="B2" s="321"/>
      <c r="C2" s="321"/>
      <c r="D2" s="321"/>
      <c r="E2" s="321"/>
      <c r="F2" s="321"/>
      <c r="G2" s="215"/>
    </row>
    <row r="3" spans="1:7">
      <c r="A3" s="244"/>
      <c r="B3" s="244"/>
      <c r="C3" s="244"/>
      <c r="D3" s="244"/>
      <c r="E3" s="244"/>
      <c r="F3" s="244"/>
    </row>
    <row r="4" spans="1:7">
      <c r="A4" s="302" t="s">
        <v>1410</v>
      </c>
      <c r="B4" s="302"/>
      <c r="C4" s="302"/>
      <c r="D4" s="302"/>
      <c r="E4" s="302"/>
      <c r="F4" s="302"/>
      <c r="G4" s="217"/>
    </row>
    <row r="5" spans="1:7" ht="30" customHeight="1">
      <c r="A5" s="320" t="s">
        <v>1881</v>
      </c>
      <c r="B5" s="320"/>
      <c r="C5" s="320"/>
      <c r="D5" s="320"/>
      <c r="E5" s="320"/>
      <c r="F5" s="320"/>
      <c r="G5" s="216"/>
    </row>
    <row r="6" spans="1:7" ht="30" customHeight="1">
      <c r="A6" s="320"/>
      <c r="B6" s="320"/>
      <c r="C6" s="320"/>
      <c r="D6" s="320"/>
      <c r="E6" s="320"/>
      <c r="F6" s="320"/>
      <c r="G6" s="216"/>
    </row>
    <row r="7" spans="1:7">
      <c r="A7" s="244"/>
      <c r="B7" s="244"/>
      <c r="C7" s="244"/>
      <c r="D7" s="244"/>
      <c r="E7" s="244"/>
      <c r="F7" s="244"/>
    </row>
    <row r="8" spans="1:7">
      <c r="A8" s="302" t="s">
        <v>1412</v>
      </c>
      <c r="B8" s="302"/>
      <c r="C8" s="302"/>
      <c r="D8" s="302"/>
      <c r="E8" s="302"/>
      <c r="F8" s="302"/>
      <c r="G8" s="217"/>
    </row>
    <row r="9" spans="1:7">
      <c r="A9" s="70" t="s">
        <v>143</v>
      </c>
      <c r="B9" s="70" t="s">
        <v>1413</v>
      </c>
      <c r="C9" s="70" t="s">
        <v>1414</v>
      </c>
      <c r="D9" s="70" t="s">
        <v>1255</v>
      </c>
      <c r="E9" s="70" t="s">
        <v>1415</v>
      </c>
      <c r="F9" s="70" t="s">
        <v>1416</v>
      </c>
      <c r="G9" s="70" t="s">
        <v>1417</v>
      </c>
    </row>
    <row r="10" spans="1:7" ht="24">
      <c r="A10" s="245" t="s">
        <v>1882</v>
      </c>
      <c r="B10" s="246" t="s">
        <v>1883</v>
      </c>
      <c r="C10" s="246" t="s">
        <v>1884</v>
      </c>
      <c r="D10" s="246" t="s">
        <v>1884</v>
      </c>
      <c r="E10" s="246" t="s">
        <v>1885</v>
      </c>
      <c r="F10" s="246" t="s">
        <v>1882</v>
      </c>
      <c r="G10" s="148" t="s">
        <v>1641</v>
      </c>
    </row>
    <row r="11" spans="1:7" ht="24">
      <c r="A11" s="245" t="s">
        <v>1886</v>
      </c>
      <c r="B11" s="246" t="s">
        <v>1887</v>
      </c>
      <c r="C11" s="246" t="s">
        <v>1755</v>
      </c>
      <c r="D11" s="246" t="s">
        <v>1755</v>
      </c>
      <c r="E11" s="246" t="s">
        <v>1756</v>
      </c>
      <c r="F11" s="246" t="s">
        <v>1886</v>
      </c>
      <c r="G11" s="148" t="s">
        <v>1641</v>
      </c>
    </row>
    <row r="12" spans="1:7" ht="24">
      <c r="A12" s="245" t="s">
        <v>1888</v>
      </c>
      <c r="B12" s="246" t="s">
        <v>1889</v>
      </c>
      <c r="C12" s="246" t="s">
        <v>1890</v>
      </c>
      <c r="D12" s="246" t="s">
        <v>1890</v>
      </c>
      <c r="E12" s="246" t="s">
        <v>1891</v>
      </c>
      <c r="F12" s="246" t="s">
        <v>1888</v>
      </c>
      <c r="G12" s="148" t="s">
        <v>1641</v>
      </c>
    </row>
    <row r="13" spans="1:7" ht="24">
      <c r="A13" s="245" t="s">
        <v>1892</v>
      </c>
      <c r="B13" s="246" t="s">
        <v>1893</v>
      </c>
      <c r="C13" s="246" t="s">
        <v>481</v>
      </c>
      <c r="D13" s="246" t="s">
        <v>481</v>
      </c>
      <c r="E13" s="246" t="s">
        <v>1894</v>
      </c>
      <c r="F13" s="246" t="s">
        <v>1892</v>
      </c>
      <c r="G13" s="148" t="s">
        <v>1641</v>
      </c>
    </row>
    <row r="14" spans="1:7" ht="24">
      <c r="A14" s="245" t="s">
        <v>1895</v>
      </c>
      <c r="B14" s="246" t="s">
        <v>1896</v>
      </c>
      <c r="C14" s="246" t="s">
        <v>1897</v>
      </c>
      <c r="D14" s="246" t="s">
        <v>1897</v>
      </c>
      <c r="E14" s="246" t="s">
        <v>1898</v>
      </c>
      <c r="F14" s="246" t="s">
        <v>1895</v>
      </c>
      <c r="G14" s="148"/>
    </row>
    <row r="15" spans="1:7" ht="24">
      <c r="A15" s="245" t="s">
        <v>1899</v>
      </c>
      <c r="B15" s="246" t="s">
        <v>1900</v>
      </c>
      <c r="C15" s="246" t="s">
        <v>1443</v>
      </c>
      <c r="D15" s="246" t="s">
        <v>1443</v>
      </c>
      <c r="E15" s="246" t="s">
        <v>1852</v>
      </c>
      <c r="F15" s="246" t="s">
        <v>1899</v>
      </c>
      <c r="G15" s="148"/>
    </row>
    <row r="16" spans="1:7" ht="24">
      <c r="A16" s="245" t="s">
        <v>1901</v>
      </c>
      <c r="B16" s="246" t="s">
        <v>1902</v>
      </c>
      <c r="C16" s="246" t="s">
        <v>1903</v>
      </c>
      <c r="D16" s="246" t="s">
        <v>1903</v>
      </c>
      <c r="E16" s="246" t="s">
        <v>1904</v>
      </c>
      <c r="F16" s="246" t="s">
        <v>1901</v>
      </c>
      <c r="G16" s="148"/>
    </row>
    <row r="17" spans="1:7" ht="24">
      <c r="A17" s="245" t="s">
        <v>1905</v>
      </c>
      <c r="B17" s="246" t="s">
        <v>1906</v>
      </c>
      <c r="C17" s="246" t="s">
        <v>1907</v>
      </c>
      <c r="D17" s="246" t="s">
        <v>1907</v>
      </c>
      <c r="E17" s="246" t="s">
        <v>1908</v>
      </c>
      <c r="F17" s="246" t="s">
        <v>1905</v>
      </c>
      <c r="G17" s="148"/>
    </row>
    <row r="18" spans="1:7" ht="24">
      <c r="A18" s="245" t="s">
        <v>1909</v>
      </c>
      <c r="B18" s="246" t="s">
        <v>1910</v>
      </c>
      <c r="C18" s="246" t="s">
        <v>1911</v>
      </c>
      <c r="D18" s="246" t="s">
        <v>1911</v>
      </c>
      <c r="E18" s="246" t="s">
        <v>1912</v>
      </c>
      <c r="F18" s="246" t="s">
        <v>1909</v>
      </c>
    </row>
    <row r="19" spans="1:7" ht="24">
      <c r="A19" s="245" t="s">
        <v>1525</v>
      </c>
      <c r="B19" s="246" t="s">
        <v>1913</v>
      </c>
      <c r="C19" s="246" t="s">
        <v>1914</v>
      </c>
      <c r="D19" s="246" t="s">
        <v>1914</v>
      </c>
      <c r="E19" s="246" t="s">
        <v>1915</v>
      </c>
      <c r="F19" s="246" t="s">
        <v>1525</v>
      </c>
      <c r="G19" s="217"/>
    </row>
    <row r="20" spans="1:7">
      <c r="A20" s="70"/>
      <c r="B20" s="70"/>
      <c r="C20" s="70"/>
      <c r="D20" s="70"/>
      <c r="E20" s="70"/>
      <c r="F20" s="70"/>
      <c r="G20" s="70" t="s">
        <v>1459</v>
      </c>
    </row>
    <row r="21" spans="1:7" ht="24">
      <c r="A21" s="302" t="s">
        <v>1452</v>
      </c>
      <c r="B21" s="302"/>
      <c r="C21" s="302"/>
      <c r="D21" s="302"/>
      <c r="E21" s="302"/>
      <c r="F21" s="302"/>
      <c r="G21" s="85" t="s">
        <v>1740</v>
      </c>
    </row>
    <row r="22" spans="1:7" ht="29.1">
      <c r="A22" s="70" t="s">
        <v>1453</v>
      </c>
      <c r="B22" s="70" t="s">
        <v>1454</v>
      </c>
      <c r="C22" s="70" t="s">
        <v>1455</v>
      </c>
      <c r="D22" s="70" t="s">
        <v>1456</v>
      </c>
      <c r="E22" s="70" t="s">
        <v>1457</v>
      </c>
      <c r="F22" s="70" t="s">
        <v>1777</v>
      </c>
      <c r="G22" s="85" t="s">
        <v>1585</v>
      </c>
    </row>
    <row r="23" spans="1:7" ht="36">
      <c r="A23" s="247" t="s">
        <v>1460</v>
      </c>
      <c r="B23" s="246" t="s">
        <v>1916</v>
      </c>
      <c r="C23" s="246" t="s">
        <v>1917</v>
      </c>
      <c r="D23" s="246" t="s">
        <v>1918</v>
      </c>
      <c r="E23" s="246" t="s">
        <v>1919</v>
      </c>
      <c r="F23" s="246" t="s">
        <v>1363</v>
      </c>
      <c r="G23" s="85" t="s">
        <v>1591</v>
      </c>
    </row>
    <row r="24" spans="1:7" ht="36">
      <c r="A24" s="247" t="s">
        <v>915</v>
      </c>
      <c r="B24" s="246" t="s">
        <v>1920</v>
      </c>
      <c r="C24" s="246" t="s">
        <v>1921</v>
      </c>
      <c r="D24" s="246" t="s">
        <v>1922</v>
      </c>
      <c r="E24" s="246" t="s">
        <v>1923</v>
      </c>
      <c r="F24" s="246" t="s">
        <v>1924</v>
      </c>
    </row>
    <row r="25" spans="1:7" ht="36">
      <c r="A25" s="247" t="s">
        <v>1472</v>
      </c>
      <c r="B25" s="246" t="s">
        <v>1925</v>
      </c>
      <c r="C25" s="246" t="s">
        <v>1926</v>
      </c>
      <c r="D25" s="246" t="s">
        <v>1927</v>
      </c>
      <c r="E25" s="246" t="s">
        <v>1928</v>
      </c>
      <c r="F25" s="246" t="s">
        <v>1929</v>
      </c>
      <c r="G25" s="217"/>
    </row>
    <row r="26" spans="1:7" ht="14.45" customHeight="1">
      <c r="A26" s="214"/>
      <c r="B26" s="214"/>
      <c r="C26" s="214"/>
      <c r="D26" s="214"/>
      <c r="E26" s="214"/>
      <c r="F26" s="214"/>
      <c r="G26" s="214"/>
    </row>
    <row r="27" spans="1:7">
      <c r="A27" s="302" t="s">
        <v>1479</v>
      </c>
      <c r="B27" s="302"/>
      <c r="C27" s="302"/>
      <c r="D27" s="302"/>
      <c r="E27" s="302"/>
      <c r="F27" s="302"/>
      <c r="G27" s="214"/>
    </row>
    <row r="28" spans="1:7" ht="32.1" customHeight="1">
      <c r="A28" s="214" t="s">
        <v>1930</v>
      </c>
      <c r="B28" s="214"/>
      <c r="C28" s="214"/>
      <c r="D28" s="214"/>
      <c r="E28" s="214"/>
      <c r="F28" s="214"/>
      <c r="G28" s="214"/>
    </row>
    <row r="29" spans="1:7" ht="32.1" customHeight="1">
      <c r="A29" s="317"/>
      <c r="B29" s="317"/>
      <c r="C29" s="317"/>
      <c r="D29" s="317"/>
      <c r="E29" s="317"/>
      <c r="F29" s="317"/>
    </row>
  </sheetData>
  <mergeCells count="8">
    <mergeCell ref="A29:F29"/>
    <mergeCell ref="A1:F1"/>
    <mergeCell ref="A2:F2"/>
    <mergeCell ref="A4:F4"/>
    <mergeCell ref="A5:F6"/>
    <mergeCell ref="A8:F8"/>
    <mergeCell ref="A21:F21"/>
    <mergeCell ref="A27:F27"/>
  </mergeCells>
  <pageMargins left="0.7" right="0.7" top="0.75" bottom="0.75" header="0.3" footer="0.3"/>
  <headerFooter>
    <oddFooter>&amp;L_x000D_&amp;1#&amp;"Aptos"&amp;10&amp;K000000 Confidential-Internal</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557B9-19DD-4296-9A7E-30066EECB2EF}">
  <dimension ref="A1:G29"/>
  <sheetViews>
    <sheetView topLeftCell="A22" workbookViewId="0">
      <selection activeCell="I11" sqref="I11:J11"/>
    </sheetView>
  </sheetViews>
  <sheetFormatPr defaultRowHeight="14.45"/>
  <cols>
    <col min="1" max="1" width="20" customWidth="1"/>
    <col min="2" max="2" width="25.42578125" customWidth="1"/>
    <col min="3" max="3" width="19.140625" customWidth="1"/>
    <col min="4" max="4" width="22.7109375" customWidth="1"/>
    <col min="5" max="6" width="25.42578125" customWidth="1"/>
    <col min="7" max="7" width="23.85546875" bestFit="1" customWidth="1"/>
  </cols>
  <sheetData>
    <row r="1" spans="1:7" ht="30" customHeight="1">
      <c r="A1" s="298" t="s">
        <v>1931</v>
      </c>
      <c r="B1" s="298"/>
      <c r="C1" s="298"/>
      <c r="D1" s="298"/>
      <c r="E1" s="298"/>
      <c r="F1" s="298"/>
      <c r="G1" s="213"/>
    </row>
    <row r="2" spans="1:7" ht="14.45" customHeight="1">
      <c r="A2" s="321" t="s">
        <v>1743</v>
      </c>
      <c r="B2" s="321"/>
      <c r="C2" s="321"/>
      <c r="D2" s="321"/>
      <c r="E2" s="321"/>
      <c r="F2" s="321"/>
      <c r="G2" s="215"/>
    </row>
    <row r="3" spans="1:7">
      <c r="A3" s="244"/>
      <c r="B3" s="244"/>
      <c r="C3" s="244"/>
      <c r="D3" s="244"/>
      <c r="E3" s="244"/>
      <c r="F3" s="244"/>
    </row>
    <row r="4" spans="1:7">
      <c r="A4" s="302" t="s">
        <v>1410</v>
      </c>
      <c r="B4" s="302"/>
      <c r="C4" s="302"/>
      <c r="D4" s="302"/>
      <c r="E4" s="302"/>
      <c r="F4" s="302"/>
      <c r="G4" s="217"/>
    </row>
    <row r="5" spans="1:7" ht="30" customHeight="1">
      <c r="A5" s="320" t="s">
        <v>1932</v>
      </c>
      <c r="B5" s="320"/>
      <c r="C5" s="320"/>
      <c r="D5" s="320"/>
      <c r="E5" s="320"/>
      <c r="F5" s="320"/>
      <c r="G5" s="216"/>
    </row>
    <row r="6" spans="1:7" ht="30" customHeight="1">
      <c r="A6" s="320"/>
      <c r="B6" s="320"/>
      <c r="C6" s="320"/>
      <c r="D6" s="320"/>
      <c r="E6" s="320"/>
      <c r="F6" s="320"/>
      <c r="G6" s="216"/>
    </row>
    <row r="7" spans="1:7">
      <c r="A7" s="244"/>
      <c r="B7" s="244"/>
      <c r="C7" s="244"/>
      <c r="D7" s="244"/>
      <c r="E7" s="244"/>
      <c r="F7" s="244"/>
    </row>
    <row r="8" spans="1:7">
      <c r="A8" s="302" t="s">
        <v>1412</v>
      </c>
      <c r="B8" s="302"/>
      <c r="C8" s="302"/>
      <c r="D8" s="302"/>
      <c r="E8" s="302"/>
      <c r="F8" s="302"/>
      <c r="G8" s="217"/>
    </row>
    <row r="9" spans="1:7">
      <c r="A9" s="70" t="s">
        <v>143</v>
      </c>
      <c r="B9" s="70" t="s">
        <v>1413</v>
      </c>
      <c r="C9" s="70" t="s">
        <v>1414</v>
      </c>
      <c r="D9" s="70" t="s">
        <v>1255</v>
      </c>
      <c r="E9" s="70" t="s">
        <v>1415</v>
      </c>
      <c r="F9" s="70" t="s">
        <v>1416</v>
      </c>
      <c r="G9" s="70" t="s">
        <v>1417</v>
      </c>
    </row>
    <row r="10" spans="1:7" ht="24">
      <c r="A10" s="245" t="s">
        <v>1933</v>
      </c>
      <c r="B10" s="246" t="s">
        <v>1934</v>
      </c>
      <c r="C10" s="246" t="s">
        <v>1935</v>
      </c>
      <c r="D10" s="246" t="s">
        <v>1935</v>
      </c>
      <c r="E10" s="246" t="s">
        <v>1936</v>
      </c>
      <c r="F10" s="246" t="s">
        <v>1933</v>
      </c>
      <c r="G10" s="148" t="s">
        <v>1641</v>
      </c>
    </row>
    <row r="11" spans="1:7" ht="24">
      <c r="A11" s="245" t="s">
        <v>1937</v>
      </c>
      <c r="B11" s="246" t="s">
        <v>1938</v>
      </c>
      <c r="C11" s="246" t="s">
        <v>1939</v>
      </c>
      <c r="D11" s="246" t="s">
        <v>1939</v>
      </c>
      <c r="E11" s="246" t="s">
        <v>1940</v>
      </c>
      <c r="F11" s="246" t="s">
        <v>1937</v>
      </c>
      <c r="G11" s="148" t="s">
        <v>1641</v>
      </c>
    </row>
    <row r="12" spans="1:7" ht="24">
      <c r="A12" s="245" t="s">
        <v>1941</v>
      </c>
      <c r="B12" s="246" t="s">
        <v>1942</v>
      </c>
      <c r="C12" s="246" t="s">
        <v>1943</v>
      </c>
      <c r="D12" s="246" t="s">
        <v>1943</v>
      </c>
      <c r="E12" s="246" t="s">
        <v>1944</v>
      </c>
      <c r="F12" s="246" t="s">
        <v>1941</v>
      </c>
      <c r="G12" s="148" t="s">
        <v>1641</v>
      </c>
    </row>
    <row r="13" spans="1:7" ht="24">
      <c r="A13" s="245" t="s">
        <v>1945</v>
      </c>
      <c r="B13" s="246" t="s">
        <v>1946</v>
      </c>
      <c r="C13" s="246" t="s">
        <v>271</v>
      </c>
      <c r="D13" s="246" t="s">
        <v>271</v>
      </c>
      <c r="E13" s="246" t="s">
        <v>1947</v>
      </c>
      <c r="F13" s="246" t="s">
        <v>1945</v>
      </c>
      <c r="G13" s="148" t="s">
        <v>1641</v>
      </c>
    </row>
    <row r="14" spans="1:7" ht="24">
      <c r="A14" s="245" t="s">
        <v>1948</v>
      </c>
      <c r="B14" s="246" t="s">
        <v>1949</v>
      </c>
      <c r="C14" s="246" t="s">
        <v>1950</v>
      </c>
      <c r="D14" s="246" t="s">
        <v>1950</v>
      </c>
      <c r="E14" s="246" t="s">
        <v>1951</v>
      </c>
      <c r="F14" s="246" t="s">
        <v>1948</v>
      </c>
      <c r="G14" s="148"/>
    </row>
    <row r="15" spans="1:7" ht="24">
      <c r="A15" s="245" t="s">
        <v>1952</v>
      </c>
      <c r="B15" s="246" t="s">
        <v>1953</v>
      </c>
      <c r="C15" s="246" t="s">
        <v>1954</v>
      </c>
      <c r="D15" s="246" t="s">
        <v>1954</v>
      </c>
      <c r="E15" s="246" t="s">
        <v>1955</v>
      </c>
      <c r="F15" s="246" t="s">
        <v>1952</v>
      </c>
      <c r="G15" s="148"/>
    </row>
    <row r="16" spans="1:7">
      <c r="A16" s="245"/>
      <c r="B16" s="246"/>
      <c r="C16" s="246"/>
      <c r="D16" s="246"/>
      <c r="E16" s="246"/>
      <c r="F16" s="246"/>
      <c r="G16" s="148"/>
    </row>
    <row r="17" spans="1:7">
      <c r="A17" s="245"/>
      <c r="B17" s="246"/>
      <c r="C17" s="246"/>
      <c r="D17" s="246"/>
      <c r="E17" s="246"/>
      <c r="F17" s="246"/>
      <c r="G17" s="148"/>
    </row>
    <row r="18" spans="1:7">
      <c r="A18" s="245"/>
      <c r="B18" s="246"/>
      <c r="C18" s="246"/>
      <c r="D18" s="246"/>
      <c r="E18" s="246"/>
      <c r="F18" s="246"/>
    </row>
    <row r="19" spans="1:7">
      <c r="A19" s="245"/>
      <c r="B19" s="246"/>
      <c r="C19" s="246"/>
      <c r="D19" s="246"/>
      <c r="E19" s="246"/>
      <c r="F19" s="246"/>
      <c r="G19" s="217"/>
    </row>
    <row r="20" spans="1:7">
      <c r="A20" s="70"/>
      <c r="B20" s="70"/>
      <c r="C20" s="70"/>
      <c r="D20" s="70"/>
      <c r="E20" s="70"/>
      <c r="F20" s="70"/>
      <c r="G20" s="70" t="s">
        <v>1459</v>
      </c>
    </row>
    <row r="21" spans="1:7" ht="24">
      <c r="A21" s="302" t="s">
        <v>1452</v>
      </c>
      <c r="B21" s="302"/>
      <c r="C21" s="302"/>
      <c r="D21" s="302"/>
      <c r="E21" s="302"/>
      <c r="F21" s="302"/>
      <c r="G21" s="85" t="s">
        <v>1740</v>
      </c>
    </row>
    <row r="22" spans="1:7" ht="29.1">
      <c r="A22" s="70" t="s">
        <v>1453</v>
      </c>
      <c r="B22" s="70" t="s">
        <v>1454</v>
      </c>
      <c r="C22" s="70" t="s">
        <v>1455</v>
      </c>
      <c r="D22" s="70" t="s">
        <v>1456</v>
      </c>
      <c r="E22" s="70" t="s">
        <v>1457</v>
      </c>
      <c r="F22" s="70" t="s">
        <v>1777</v>
      </c>
      <c r="G22" s="85" t="s">
        <v>1585</v>
      </c>
    </row>
    <row r="23" spans="1:7" ht="36">
      <c r="A23" s="247" t="s">
        <v>1460</v>
      </c>
      <c r="B23" s="246" t="s">
        <v>1956</v>
      </c>
      <c r="C23" s="246" t="s">
        <v>1957</v>
      </c>
      <c r="D23" s="246" t="s">
        <v>1958</v>
      </c>
      <c r="E23" s="246" t="s">
        <v>1959</v>
      </c>
      <c r="F23" s="246" t="s">
        <v>1370</v>
      </c>
      <c r="G23" s="85" t="s">
        <v>1591</v>
      </c>
    </row>
    <row r="24" spans="1:7" ht="24">
      <c r="A24" s="247" t="s">
        <v>915</v>
      </c>
      <c r="B24" s="246" t="s">
        <v>1960</v>
      </c>
      <c r="C24" s="246" t="s">
        <v>1961</v>
      </c>
      <c r="D24" s="246" t="s">
        <v>1962</v>
      </c>
      <c r="E24" s="246" t="s">
        <v>1963</v>
      </c>
      <c r="F24" s="246" t="s">
        <v>1964</v>
      </c>
    </row>
    <row r="25" spans="1:7" ht="24">
      <c r="A25" s="247" t="s">
        <v>1472</v>
      </c>
      <c r="B25" s="246" t="s">
        <v>1965</v>
      </c>
      <c r="C25" s="246" t="s">
        <v>1966</v>
      </c>
      <c r="D25" s="246" t="s">
        <v>1967</v>
      </c>
      <c r="E25" s="246" t="s">
        <v>1968</v>
      </c>
      <c r="F25" s="246" t="s">
        <v>1969</v>
      </c>
      <c r="G25" s="217"/>
    </row>
    <row r="26" spans="1:7" ht="14.45" customHeight="1">
      <c r="A26" s="214"/>
      <c r="B26" s="214"/>
      <c r="C26" s="214"/>
      <c r="D26" s="214"/>
      <c r="E26" s="214"/>
      <c r="F26" s="214"/>
      <c r="G26" s="214"/>
    </row>
    <row r="27" spans="1:7">
      <c r="A27" s="302" t="s">
        <v>1479</v>
      </c>
      <c r="B27" s="302"/>
      <c r="C27" s="302"/>
      <c r="D27" s="302"/>
      <c r="E27" s="302"/>
      <c r="F27" s="302"/>
      <c r="G27" s="214"/>
    </row>
    <row r="28" spans="1:7" ht="32.1" customHeight="1">
      <c r="A28" s="214" t="s">
        <v>1970</v>
      </c>
      <c r="B28" s="214"/>
      <c r="C28" s="214"/>
      <c r="D28" s="214"/>
      <c r="E28" s="214"/>
      <c r="F28" s="214"/>
      <c r="G28" s="214"/>
    </row>
    <row r="29" spans="1:7" ht="32.1" customHeight="1">
      <c r="A29" s="317"/>
      <c r="B29" s="317"/>
      <c r="C29" s="317"/>
      <c r="D29" s="317"/>
      <c r="E29" s="317"/>
      <c r="F29" s="317"/>
    </row>
  </sheetData>
  <mergeCells count="8">
    <mergeCell ref="A29:F29"/>
    <mergeCell ref="A1:F1"/>
    <mergeCell ref="A2:F2"/>
    <mergeCell ref="A4:F4"/>
    <mergeCell ref="A5:F6"/>
    <mergeCell ref="A8:F8"/>
    <mergeCell ref="A21:F21"/>
    <mergeCell ref="A27:F27"/>
  </mergeCells>
  <pageMargins left="0.7" right="0.7" top="0.75" bottom="0.75" header="0.3" footer="0.3"/>
  <headerFooter>
    <oddFooter>&amp;L_x000D_&amp;1#&amp;"Aptos"&amp;10&amp;K000000 Confidential-Internal</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7980E-F358-4E51-92B5-A1D903DC4E1F}">
  <dimension ref="A1:F35"/>
  <sheetViews>
    <sheetView topLeftCell="A22" workbookViewId="0">
      <selection activeCell="I11" sqref="I11:J11"/>
    </sheetView>
  </sheetViews>
  <sheetFormatPr defaultRowHeight="14.45"/>
  <cols>
    <col min="1" max="4" width="21.85546875" customWidth="1"/>
    <col min="5" max="5" width="16.42578125" customWidth="1"/>
    <col min="6" max="6" width="29.140625" customWidth="1"/>
  </cols>
  <sheetData>
    <row r="1" spans="1:6" ht="48" customHeight="1">
      <c r="A1" s="312" t="s">
        <v>1971</v>
      </c>
      <c r="B1" s="312"/>
      <c r="C1" s="312"/>
      <c r="D1" s="312"/>
      <c r="E1" s="312"/>
      <c r="F1" s="312"/>
    </row>
    <row r="2" spans="1:6">
      <c r="A2" s="299" t="s">
        <v>1972</v>
      </c>
      <c r="B2" s="299"/>
      <c r="C2" s="299"/>
      <c r="D2" s="299"/>
      <c r="E2" s="299"/>
      <c r="F2" s="299"/>
    </row>
    <row r="4" spans="1:6">
      <c r="A4" s="314" t="s">
        <v>1973</v>
      </c>
      <c r="B4" s="314"/>
      <c r="C4" s="314"/>
      <c r="D4" s="314"/>
      <c r="E4" s="314"/>
      <c r="F4" s="314"/>
    </row>
    <row r="5" spans="1:6">
      <c r="A5" s="320" t="s">
        <v>1974</v>
      </c>
      <c r="B5" s="320"/>
      <c r="C5" s="320"/>
      <c r="D5" s="320"/>
      <c r="E5" s="320"/>
      <c r="F5" s="320"/>
    </row>
    <row r="6" spans="1:6">
      <c r="A6" s="320"/>
      <c r="B6" s="320"/>
      <c r="C6" s="320"/>
      <c r="D6" s="320"/>
      <c r="E6" s="320"/>
      <c r="F6" s="320"/>
    </row>
    <row r="7" spans="1:6">
      <c r="A7" s="320"/>
      <c r="B7" s="320"/>
      <c r="C7" s="320"/>
      <c r="D7" s="320"/>
      <c r="E7" s="320"/>
      <c r="F7" s="320"/>
    </row>
    <row r="9" spans="1:6">
      <c r="A9" s="314" t="s">
        <v>1975</v>
      </c>
      <c r="B9" s="314"/>
      <c r="C9" s="314"/>
      <c r="D9" s="314" t="s">
        <v>1976</v>
      </c>
      <c r="E9" s="314"/>
      <c r="F9" s="314"/>
    </row>
    <row r="10" spans="1:6">
      <c r="A10" s="322" t="s">
        <v>1977</v>
      </c>
      <c r="B10" s="311"/>
      <c r="C10" s="311"/>
      <c r="D10" s="311" t="s">
        <v>1978</v>
      </c>
      <c r="E10" s="311"/>
      <c r="F10" s="82">
        <v>1</v>
      </c>
    </row>
    <row r="11" spans="1:6">
      <c r="A11" s="322" t="s">
        <v>1979</v>
      </c>
      <c r="B11" s="311"/>
      <c r="C11" s="311"/>
      <c r="D11" s="311" t="s">
        <v>1727</v>
      </c>
      <c r="E11" s="311"/>
      <c r="F11" s="83" t="s">
        <v>1047</v>
      </c>
    </row>
    <row r="12" spans="1:6">
      <c r="A12" s="73"/>
      <c r="B12" s="71"/>
      <c r="C12" s="71"/>
      <c r="D12" s="311" t="s">
        <v>1651</v>
      </c>
      <c r="E12" s="311"/>
      <c r="F12" s="83" t="s">
        <v>1060</v>
      </c>
    </row>
    <row r="13" spans="1:6">
      <c r="A13" s="73"/>
      <c r="B13" s="71"/>
      <c r="C13" s="71"/>
      <c r="D13" s="311" t="s">
        <v>1980</v>
      </c>
      <c r="E13" s="311"/>
      <c r="F13" s="83" t="s">
        <v>1074</v>
      </c>
    </row>
    <row r="15" spans="1:6">
      <c r="A15" s="314" t="s">
        <v>1981</v>
      </c>
      <c r="B15" s="314"/>
      <c r="C15" s="314"/>
      <c r="D15" s="314"/>
      <c r="E15" s="314"/>
      <c r="F15" s="314"/>
    </row>
    <row r="16" spans="1:6">
      <c r="A16" s="323" t="s">
        <v>1982</v>
      </c>
      <c r="B16" s="323"/>
      <c r="C16" s="323" t="s">
        <v>1983</v>
      </c>
      <c r="D16" s="323"/>
      <c r="E16" s="323"/>
      <c r="F16" s="323"/>
    </row>
    <row r="17" spans="1:6">
      <c r="A17" s="324" t="s">
        <v>1984</v>
      </c>
      <c r="B17" s="311"/>
      <c r="C17" s="311" t="s">
        <v>1985</v>
      </c>
      <c r="D17" s="311"/>
      <c r="E17" s="311"/>
      <c r="F17" s="311"/>
    </row>
    <row r="18" spans="1:6">
      <c r="A18" s="324" t="s">
        <v>1986</v>
      </c>
      <c r="B18" s="311"/>
      <c r="C18" s="311" t="s">
        <v>1987</v>
      </c>
      <c r="D18" s="311"/>
      <c r="E18" s="311"/>
      <c r="F18" s="311"/>
    </row>
    <row r="19" spans="1:6">
      <c r="A19" s="324" t="s">
        <v>1988</v>
      </c>
      <c r="B19" s="311"/>
      <c r="C19" s="311" t="s">
        <v>1989</v>
      </c>
      <c r="D19" s="311"/>
      <c r="E19" s="311"/>
      <c r="F19" s="311"/>
    </row>
    <row r="21" spans="1:6">
      <c r="A21" s="314" t="s">
        <v>1479</v>
      </c>
      <c r="B21" s="314"/>
      <c r="C21" s="314"/>
      <c r="D21" s="314"/>
      <c r="E21" s="314"/>
      <c r="F21" s="314"/>
    </row>
    <row r="22" spans="1:6">
      <c r="A22" s="315" t="s">
        <v>1990</v>
      </c>
      <c r="B22" s="315"/>
      <c r="C22" s="315"/>
      <c r="D22" s="315"/>
      <c r="E22" s="315"/>
      <c r="F22" s="315"/>
    </row>
    <row r="23" spans="1:6">
      <c r="A23" s="315"/>
      <c r="B23" s="315"/>
      <c r="C23" s="315"/>
      <c r="D23" s="315"/>
      <c r="E23" s="315"/>
      <c r="F23" s="315"/>
    </row>
    <row r="24" spans="1:6">
      <c r="A24" s="315"/>
      <c r="B24" s="315"/>
      <c r="C24" s="315"/>
      <c r="D24" s="315"/>
      <c r="E24" s="315"/>
      <c r="F24" s="315"/>
    </row>
    <row r="26" spans="1:6">
      <c r="A26" s="355" t="s">
        <v>1991</v>
      </c>
      <c r="B26" s="355"/>
      <c r="C26" s="355"/>
      <c r="D26" s="355"/>
      <c r="E26" s="355"/>
      <c r="F26" s="355"/>
    </row>
    <row r="27" spans="1:6">
      <c r="A27" s="323" t="s">
        <v>1992</v>
      </c>
      <c r="B27" s="323"/>
      <c r="C27" s="323" t="s">
        <v>1993</v>
      </c>
      <c r="D27" s="323"/>
      <c r="E27" s="323" t="s">
        <v>1994</v>
      </c>
      <c r="F27" s="323"/>
    </row>
    <row r="28" spans="1:6">
      <c r="A28" s="325" t="s">
        <v>1995</v>
      </c>
      <c r="B28" s="326"/>
      <c r="C28" s="326" t="s">
        <v>1996</v>
      </c>
      <c r="D28" s="326"/>
      <c r="E28" s="327" t="s">
        <v>1997</v>
      </c>
      <c r="F28" s="326"/>
    </row>
    <row r="29" spans="1:6">
      <c r="A29" s="325" t="s">
        <v>1998</v>
      </c>
      <c r="B29" s="326"/>
      <c r="C29" s="326" t="s">
        <v>1999</v>
      </c>
      <c r="D29" s="326"/>
      <c r="E29" s="327" t="s">
        <v>2000</v>
      </c>
      <c r="F29" s="326"/>
    </row>
    <row r="30" spans="1:6">
      <c r="A30" s="325" t="s">
        <v>2001</v>
      </c>
      <c r="B30" s="326"/>
      <c r="C30" s="326" t="s">
        <v>2002</v>
      </c>
      <c r="D30" s="326"/>
      <c r="E30" s="327" t="s">
        <v>2003</v>
      </c>
      <c r="F30" s="326"/>
    </row>
    <row r="31" spans="1:6">
      <c r="A31" s="325" t="s">
        <v>2004</v>
      </c>
      <c r="B31" s="326"/>
      <c r="C31" s="326" t="s">
        <v>2005</v>
      </c>
      <c r="D31" s="326"/>
      <c r="E31" s="327" t="s">
        <v>2006</v>
      </c>
      <c r="F31" s="326"/>
    </row>
    <row r="33" spans="1:6">
      <c r="A33" s="355" t="s">
        <v>2007</v>
      </c>
      <c r="B33" s="358"/>
      <c r="C33" s="358"/>
      <c r="D33" s="358"/>
      <c r="E33" s="358"/>
      <c r="F33" s="358"/>
    </row>
    <row r="34" spans="1:6">
      <c r="A34" s="285" t="s">
        <v>2008</v>
      </c>
      <c r="B34" s="285" t="s">
        <v>2009</v>
      </c>
      <c r="C34" s="285" t="s">
        <v>2010</v>
      </c>
      <c r="D34" s="285" t="s">
        <v>2011</v>
      </c>
      <c r="E34" s="285" t="s">
        <v>2012</v>
      </c>
      <c r="F34" s="285" t="s">
        <v>2013</v>
      </c>
    </row>
    <row r="35" spans="1:6" ht="116.1">
      <c r="A35" s="262" t="s">
        <v>825</v>
      </c>
      <c r="B35" s="262" t="s">
        <v>2014</v>
      </c>
      <c r="C35" s="262" t="s">
        <v>2015</v>
      </c>
      <c r="D35" s="262" t="s">
        <v>2016</v>
      </c>
      <c r="E35" s="262" t="s">
        <v>2017</v>
      </c>
      <c r="F35" s="262" t="s">
        <v>956</v>
      </c>
    </row>
  </sheetData>
  <mergeCells count="40">
    <mergeCell ref="A31:B31"/>
    <mergeCell ref="C31:D31"/>
    <mergeCell ref="E31:F31"/>
    <mergeCell ref="A29:B29"/>
    <mergeCell ref="C29:D29"/>
    <mergeCell ref="E29:F29"/>
    <mergeCell ref="A30:B30"/>
    <mergeCell ref="C30:D30"/>
    <mergeCell ref="E30:F30"/>
    <mergeCell ref="A22:F24"/>
    <mergeCell ref="A26:F26"/>
    <mergeCell ref="A28:B28"/>
    <mergeCell ref="C28:D28"/>
    <mergeCell ref="E28:F28"/>
    <mergeCell ref="A18:B18"/>
    <mergeCell ref="C18:F18"/>
    <mergeCell ref="A19:B19"/>
    <mergeCell ref="C19:F19"/>
    <mergeCell ref="A21:F21"/>
    <mergeCell ref="A15:F15"/>
    <mergeCell ref="A16:B16"/>
    <mergeCell ref="C16:F16"/>
    <mergeCell ref="A17:B17"/>
    <mergeCell ref="C17:F17"/>
    <mergeCell ref="A33:F33"/>
    <mergeCell ref="D13:E13"/>
    <mergeCell ref="A1:F1"/>
    <mergeCell ref="A2:F2"/>
    <mergeCell ref="A4:F4"/>
    <mergeCell ref="A5:F7"/>
    <mergeCell ref="A9:C9"/>
    <mergeCell ref="D9:F9"/>
    <mergeCell ref="A10:C10"/>
    <mergeCell ref="D10:E10"/>
    <mergeCell ref="A11:C11"/>
    <mergeCell ref="D11:E11"/>
    <mergeCell ref="D12:E12"/>
    <mergeCell ref="A27:B27"/>
    <mergeCell ref="C27:D27"/>
    <mergeCell ref="E27:F27"/>
  </mergeCells>
  <pageMargins left="0.7" right="0.7" top="0.75" bottom="0.75" header="0.3" footer="0.3"/>
  <headerFooter>
    <oddFooter>&amp;L_x000D_&amp;1#&amp;"Aptos"&amp;10&amp;K000000 Confidential-Internal</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4241F-B2F6-4436-B9AA-6AB070E9171D}">
  <dimension ref="A1:F35"/>
  <sheetViews>
    <sheetView topLeftCell="A25" workbookViewId="0">
      <selection activeCell="I11" sqref="I11:J11"/>
    </sheetView>
  </sheetViews>
  <sheetFormatPr defaultRowHeight="14.45"/>
  <cols>
    <col min="1" max="4" width="21.85546875" customWidth="1"/>
    <col min="5" max="5" width="16.42578125" customWidth="1"/>
    <col min="6" max="6" width="29.140625" customWidth="1"/>
  </cols>
  <sheetData>
    <row r="1" spans="1:6" ht="48" customHeight="1">
      <c r="A1" s="312" t="s">
        <v>2018</v>
      </c>
      <c r="B1" s="312"/>
      <c r="C1" s="312"/>
      <c r="D1" s="312"/>
      <c r="E1" s="312"/>
      <c r="F1" s="312"/>
    </row>
    <row r="2" spans="1:6">
      <c r="A2" s="299" t="s">
        <v>2019</v>
      </c>
      <c r="B2" s="299"/>
      <c r="C2" s="299"/>
      <c r="D2" s="299"/>
      <c r="E2" s="299"/>
      <c r="F2" s="299"/>
    </row>
    <row r="4" spans="1:6">
      <c r="A4" s="314" t="s">
        <v>1973</v>
      </c>
      <c r="B4" s="314"/>
      <c r="C4" s="314"/>
      <c r="D4" s="314"/>
      <c r="E4" s="314"/>
      <c r="F4" s="314"/>
    </row>
    <row r="5" spans="1:6">
      <c r="A5" s="320" t="s">
        <v>2020</v>
      </c>
      <c r="B5" s="320"/>
      <c r="C5" s="320"/>
      <c r="D5" s="320"/>
      <c r="E5" s="320"/>
      <c r="F5" s="320"/>
    </row>
    <row r="6" spans="1:6">
      <c r="A6" s="320"/>
      <c r="B6" s="320"/>
      <c r="C6" s="320"/>
      <c r="D6" s="320"/>
      <c r="E6" s="320"/>
      <c r="F6" s="320"/>
    </row>
    <row r="7" spans="1:6">
      <c r="A7" s="320"/>
      <c r="B7" s="320"/>
      <c r="C7" s="320"/>
      <c r="D7" s="320"/>
      <c r="E7" s="320"/>
      <c r="F7" s="320"/>
    </row>
    <row r="9" spans="1:6">
      <c r="A9" s="314" t="s">
        <v>1975</v>
      </c>
      <c r="B9" s="314"/>
      <c r="C9" s="314"/>
      <c r="D9" s="314" t="s">
        <v>1976</v>
      </c>
      <c r="E9" s="314"/>
      <c r="F9" s="314"/>
    </row>
    <row r="10" spans="1:6">
      <c r="A10" s="322" t="s">
        <v>2021</v>
      </c>
      <c r="B10" s="311"/>
      <c r="C10" s="311"/>
      <c r="D10" s="311" t="s">
        <v>2022</v>
      </c>
      <c r="E10" s="311"/>
      <c r="F10" s="83" t="s">
        <v>2023</v>
      </c>
    </row>
    <row r="11" spans="1:6">
      <c r="A11" s="322" t="s">
        <v>2024</v>
      </c>
      <c r="B11" s="311"/>
      <c r="C11" s="311"/>
      <c r="D11" s="311" t="s">
        <v>2025</v>
      </c>
      <c r="E11" s="311"/>
      <c r="F11" s="82">
        <v>-0.3</v>
      </c>
    </row>
    <row r="12" spans="1:6">
      <c r="A12" s="322" t="s">
        <v>2026</v>
      </c>
      <c r="B12" s="311"/>
      <c r="C12" s="311"/>
      <c r="D12" s="311" t="s">
        <v>2027</v>
      </c>
      <c r="E12" s="311"/>
      <c r="F12" s="82">
        <v>-0.5</v>
      </c>
    </row>
    <row r="13" spans="1:6">
      <c r="A13" s="73"/>
      <c r="B13" s="71"/>
      <c r="C13" s="71"/>
      <c r="D13" s="311" t="s">
        <v>1541</v>
      </c>
      <c r="E13" s="311"/>
      <c r="F13" s="82">
        <v>0.2</v>
      </c>
    </row>
    <row r="15" spans="1:6">
      <c r="A15" s="314" t="s">
        <v>1981</v>
      </c>
      <c r="B15" s="314"/>
      <c r="C15" s="314"/>
      <c r="D15" s="314"/>
      <c r="E15" s="314"/>
      <c r="F15" s="314"/>
    </row>
    <row r="16" spans="1:6">
      <c r="A16" s="323" t="s">
        <v>1982</v>
      </c>
      <c r="B16" s="323"/>
      <c r="C16" s="323" t="s">
        <v>1983</v>
      </c>
      <c r="D16" s="323"/>
      <c r="E16" s="323"/>
      <c r="F16" s="323"/>
    </row>
    <row r="17" spans="1:6">
      <c r="A17" s="324" t="s">
        <v>2028</v>
      </c>
      <c r="B17" s="311"/>
      <c r="C17" s="311" t="s">
        <v>2029</v>
      </c>
      <c r="D17" s="311"/>
      <c r="E17" s="311"/>
      <c r="F17" s="311"/>
    </row>
    <row r="18" spans="1:6">
      <c r="A18" s="324" t="s">
        <v>2030</v>
      </c>
      <c r="B18" s="311"/>
      <c r="C18" s="311" t="s">
        <v>2031</v>
      </c>
      <c r="D18" s="311"/>
      <c r="E18" s="311"/>
      <c r="F18" s="311"/>
    </row>
    <row r="19" spans="1:6">
      <c r="A19" s="324" t="s">
        <v>2032</v>
      </c>
      <c r="B19" s="311"/>
      <c r="C19" s="311" t="s">
        <v>2033</v>
      </c>
      <c r="D19" s="311"/>
      <c r="E19" s="311"/>
      <c r="F19" s="311"/>
    </row>
    <row r="21" spans="1:6">
      <c r="A21" s="314" t="s">
        <v>1479</v>
      </c>
      <c r="B21" s="314"/>
      <c r="C21" s="314"/>
      <c r="D21" s="314"/>
      <c r="E21" s="314"/>
      <c r="F21" s="314"/>
    </row>
    <row r="22" spans="1:6">
      <c r="A22" s="315" t="s">
        <v>2034</v>
      </c>
      <c r="B22" s="315"/>
      <c r="C22" s="315"/>
      <c r="D22" s="315"/>
      <c r="E22" s="315"/>
      <c r="F22" s="315"/>
    </row>
    <row r="23" spans="1:6">
      <c r="A23" s="315"/>
      <c r="B23" s="315"/>
      <c r="C23" s="315"/>
      <c r="D23" s="315"/>
      <c r="E23" s="315"/>
      <c r="F23" s="315"/>
    </row>
    <row r="24" spans="1:6">
      <c r="A24" s="315"/>
      <c r="B24" s="315"/>
      <c r="C24" s="315"/>
      <c r="D24" s="315"/>
      <c r="E24" s="315"/>
      <c r="F24" s="315"/>
    </row>
    <row r="26" spans="1:6">
      <c r="A26" s="355" t="s">
        <v>1991</v>
      </c>
      <c r="B26" s="355"/>
      <c r="C26" s="355"/>
      <c r="D26" s="355"/>
      <c r="E26" s="355"/>
      <c r="F26" s="355"/>
    </row>
    <row r="27" spans="1:6">
      <c r="A27" s="323" t="s">
        <v>1992</v>
      </c>
      <c r="B27" s="323"/>
      <c r="C27" s="323" t="s">
        <v>1993</v>
      </c>
      <c r="D27" s="323"/>
      <c r="E27" s="323" t="s">
        <v>1994</v>
      </c>
      <c r="F27" s="323"/>
    </row>
    <row r="28" spans="1:6">
      <c r="A28" s="325" t="s">
        <v>2035</v>
      </c>
      <c r="B28" s="326"/>
      <c r="C28" s="326" t="s">
        <v>2036</v>
      </c>
      <c r="D28" s="326"/>
      <c r="E28" s="327" t="s">
        <v>2037</v>
      </c>
      <c r="F28" s="326"/>
    </row>
    <row r="29" spans="1:6">
      <c r="A29" s="325" t="s">
        <v>2038</v>
      </c>
      <c r="B29" s="326"/>
      <c r="C29" s="326" t="s">
        <v>2039</v>
      </c>
      <c r="D29" s="326"/>
      <c r="E29" s="327" t="s">
        <v>2040</v>
      </c>
      <c r="F29" s="326"/>
    </row>
    <row r="30" spans="1:6">
      <c r="A30" s="325" t="s">
        <v>2041</v>
      </c>
      <c r="B30" s="326"/>
      <c r="C30" s="326" t="s">
        <v>2042</v>
      </c>
      <c r="D30" s="326"/>
      <c r="E30" s="327" t="s">
        <v>2043</v>
      </c>
      <c r="F30" s="326"/>
    </row>
    <row r="31" spans="1:6">
      <c r="A31" s="325" t="s">
        <v>2044</v>
      </c>
      <c r="B31" s="326"/>
      <c r="C31" s="326" t="s">
        <v>2045</v>
      </c>
      <c r="D31" s="326"/>
      <c r="E31" s="327" t="s">
        <v>2046</v>
      </c>
      <c r="F31" s="326"/>
    </row>
    <row r="33" spans="1:6">
      <c r="A33" s="355" t="s">
        <v>2007</v>
      </c>
      <c r="B33" s="358"/>
      <c r="C33" s="358"/>
      <c r="D33" s="358"/>
      <c r="E33" s="358"/>
      <c r="F33" s="358"/>
    </row>
    <row r="34" spans="1:6">
      <c r="A34" s="285" t="s">
        <v>2008</v>
      </c>
      <c r="B34" s="285" t="s">
        <v>2009</v>
      </c>
      <c r="C34" s="285" t="s">
        <v>2010</v>
      </c>
      <c r="D34" s="285" t="s">
        <v>2011</v>
      </c>
      <c r="E34" s="285" t="s">
        <v>2012</v>
      </c>
      <c r="F34" s="285" t="s">
        <v>2013</v>
      </c>
    </row>
    <row r="35" spans="1:6" ht="87">
      <c r="A35" s="262" t="s">
        <v>831</v>
      </c>
      <c r="B35" s="262" t="s">
        <v>2047</v>
      </c>
      <c r="C35" s="262" t="s">
        <v>2048</v>
      </c>
      <c r="D35" s="262" t="s">
        <v>2049</v>
      </c>
      <c r="E35" s="262" t="s">
        <v>2050</v>
      </c>
      <c r="F35" s="262" t="s">
        <v>962</v>
      </c>
    </row>
  </sheetData>
  <mergeCells count="41">
    <mergeCell ref="A28:B28"/>
    <mergeCell ref="C28:D28"/>
    <mergeCell ref="E28:F28"/>
    <mergeCell ref="A31:B31"/>
    <mergeCell ref="C31:D31"/>
    <mergeCell ref="E31:F31"/>
    <mergeCell ref="A29:B29"/>
    <mergeCell ref="C29:D29"/>
    <mergeCell ref="E29:F29"/>
    <mergeCell ref="A30:B30"/>
    <mergeCell ref="C30:D30"/>
    <mergeCell ref="E30:F30"/>
    <mergeCell ref="A19:B19"/>
    <mergeCell ref="C19:F19"/>
    <mergeCell ref="A21:F21"/>
    <mergeCell ref="A26:F26"/>
    <mergeCell ref="A27:B27"/>
    <mergeCell ref="C27:D27"/>
    <mergeCell ref="E27:F27"/>
    <mergeCell ref="A16:B16"/>
    <mergeCell ref="C16:F16"/>
    <mergeCell ref="A17:B17"/>
    <mergeCell ref="C17:F17"/>
    <mergeCell ref="A18:B18"/>
    <mergeCell ref="C18:F18"/>
    <mergeCell ref="A33:F33"/>
    <mergeCell ref="A1:F1"/>
    <mergeCell ref="A2:F2"/>
    <mergeCell ref="A4:F4"/>
    <mergeCell ref="A5:F7"/>
    <mergeCell ref="A9:C9"/>
    <mergeCell ref="D9:F9"/>
    <mergeCell ref="A10:C10"/>
    <mergeCell ref="D10:E10"/>
    <mergeCell ref="A11:C11"/>
    <mergeCell ref="D11:E11"/>
    <mergeCell ref="A12:C12"/>
    <mergeCell ref="D12:E12"/>
    <mergeCell ref="A22:F24"/>
    <mergeCell ref="D13:E13"/>
    <mergeCell ref="A15:F15"/>
  </mergeCells>
  <pageMargins left="0.7" right="0.7" top="0.75" bottom="0.75" header="0.3" footer="0.3"/>
  <headerFooter>
    <oddFooter>&amp;L_x000D_&amp;1#&amp;"Aptos"&amp;10&amp;K000000 Confidential-Internal</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7FA75-D5F0-4032-9666-6A40BA625FE1}">
  <dimension ref="A1:F35"/>
  <sheetViews>
    <sheetView topLeftCell="A25" workbookViewId="0">
      <selection activeCell="I11" sqref="I11:J11"/>
    </sheetView>
  </sheetViews>
  <sheetFormatPr defaultRowHeight="14.45"/>
  <cols>
    <col min="1" max="4" width="21.85546875" customWidth="1"/>
    <col min="5" max="5" width="16.42578125" customWidth="1"/>
    <col min="6" max="6" width="29.140625" customWidth="1"/>
  </cols>
  <sheetData>
    <row r="1" spans="1:6" ht="48" customHeight="1">
      <c r="A1" s="312" t="s">
        <v>2051</v>
      </c>
      <c r="B1" s="312"/>
      <c r="C1" s="312"/>
      <c r="D1" s="312"/>
      <c r="E1" s="312"/>
      <c r="F1" s="312"/>
    </row>
    <row r="2" spans="1:6">
      <c r="A2" s="299" t="s">
        <v>2052</v>
      </c>
      <c r="B2" s="299"/>
      <c r="C2" s="299"/>
      <c r="D2" s="299"/>
      <c r="E2" s="299"/>
      <c r="F2" s="299"/>
    </row>
    <row r="4" spans="1:6">
      <c r="A4" s="314" t="s">
        <v>1973</v>
      </c>
      <c r="B4" s="314"/>
      <c r="C4" s="314"/>
      <c r="D4" s="314"/>
      <c r="E4" s="314"/>
      <c r="F4" s="314"/>
    </row>
    <row r="5" spans="1:6">
      <c r="A5" s="320" t="s">
        <v>2053</v>
      </c>
      <c r="B5" s="320"/>
      <c r="C5" s="320"/>
      <c r="D5" s="320"/>
      <c r="E5" s="320"/>
      <c r="F5" s="320"/>
    </row>
    <row r="6" spans="1:6">
      <c r="A6" s="320"/>
      <c r="B6" s="320"/>
      <c r="C6" s="320"/>
      <c r="D6" s="320"/>
      <c r="E6" s="320"/>
      <c r="F6" s="320"/>
    </row>
    <row r="7" spans="1:6">
      <c r="A7" s="320"/>
      <c r="B7" s="320"/>
      <c r="C7" s="320"/>
      <c r="D7" s="320"/>
      <c r="E7" s="320"/>
      <c r="F7" s="320"/>
    </row>
    <row r="9" spans="1:6">
      <c r="A9" s="314" t="s">
        <v>1975</v>
      </c>
      <c r="B9" s="314"/>
      <c r="C9" s="314"/>
      <c r="D9" s="314" t="s">
        <v>1976</v>
      </c>
      <c r="E9" s="314"/>
      <c r="F9" s="314"/>
    </row>
    <row r="10" spans="1:6">
      <c r="A10" s="322" t="s">
        <v>2054</v>
      </c>
      <c r="B10" s="311"/>
      <c r="C10" s="311"/>
      <c r="D10" s="311" t="s">
        <v>2055</v>
      </c>
      <c r="E10" s="311"/>
      <c r="F10" s="83" t="s">
        <v>2056</v>
      </c>
    </row>
    <row r="11" spans="1:6">
      <c r="A11" s="322" t="s">
        <v>2057</v>
      </c>
      <c r="B11" s="311"/>
      <c r="C11" s="311"/>
      <c r="D11" s="311" t="s">
        <v>2058</v>
      </c>
      <c r="E11" s="311"/>
      <c r="F11" s="83" t="s">
        <v>2059</v>
      </c>
    </row>
    <row r="12" spans="1:6">
      <c r="A12" s="322" t="s">
        <v>2060</v>
      </c>
      <c r="B12" s="311"/>
      <c r="C12" s="311"/>
      <c r="D12" s="311" t="s">
        <v>2061</v>
      </c>
      <c r="E12" s="311"/>
      <c r="F12" s="82">
        <v>-0.2</v>
      </c>
    </row>
    <row r="13" spans="1:6">
      <c r="A13" s="73"/>
      <c r="B13" s="71"/>
      <c r="C13" s="71"/>
      <c r="D13" s="311" t="s">
        <v>2062</v>
      </c>
      <c r="E13" s="311"/>
      <c r="F13" s="82">
        <v>1</v>
      </c>
    </row>
    <row r="15" spans="1:6">
      <c r="A15" s="314" t="s">
        <v>1981</v>
      </c>
      <c r="B15" s="314"/>
      <c r="C15" s="314"/>
      <c r="D15" s="314"/>
      <c r="E15" s="314"/>
      <c r="F15" s="314"/>
    </row>
    <row r="16" spans="1:6">
      <c r="A16" s="323" t="s">
        <v>1982</v>
      </c>
      <c r="B16" s="323"/>
      <c r="C16" s="323" t="s">
        <v>1983</v>
      </c>
      <c r="D16" s="323"/>
      <c r="E16" s="323"/>
      <c r="F16" s="323"/>
    </row>
    <row r="17" spans="1:6">
      <c r="A17" s="324" t="s">
        <v>2063</v>
      </c>
      <c r="B17" s="311"/>
      <c r="C17" s="311" t="s">
        <v>2064</v>
      </c>
      <c r="D17" s="311"/>
      <c r="E17" s="311"/>
      <c r="F17" s="311"/>
    </row>
    <row r="18" spans="1:6">
      <c r="A18" s="324" t="s">
        <v>2065</v>
      </c>
      <c r="B18" s="311"/>
      <c r="C18" s="311" t="s">
        <v>2066</v>
      </c>
      <c r="D18" s="311"/>
      <c r="E18" s="311"/>
      <c r="F18" s="311"/>
    </row>
    <row r="19" spans="1:6">
      <c r="A19" s="324" t="s">
        <v>2067</v>
      </c>
      <c r="B19" s="311"/>
      <c r="C19" s="311" t="s">
        <v>2068</v>
      </c>
      <c r="D19" s="311"/>
      <c r="E19" s="311"/>
      <c r="F19" s="311"/>
    </row>
    <row r="21" spans="1:6">
      <c r="A21" s="314" t="s">
        <v>1479</v>
      </c>
      <c r="B21" s="314"/>
      <c r="C21" s="314"/>
      <c r="D21" s="314"/>
      <c r="E21" s="314"/>
      <c r="F21" s="314"/>
    </row>
    <row r="22" spans="1:6">
      <c r="A22" s="315" t="s">
        <v>2069</v>
      </c>
      <c r="B22" s="315"/>
      <c r="C22" s="315"/>
      <c r="D22" s="315"/>
      <c r="E22" s="315"/>
      <c r="F22" s="315"/>
    </row>
    <row r="23" spans="1:6">
      <c r="A23" s="315"/>
      <c r="B23" s="315"/>
      <c r="C23" s="315"/>
      <c r="D23" s="315"/>
      <c r="E23" s="315"/>
      <c r="F23" s="315"/>
    </row>
    <row r="24" spans="1:6">
      <c r="A24" s="315"/>
      <c r="B24" s="315"/>
      <c r="C24" s="315"/>
      <c r="D24" s="315"/>
      <c r="E24" s="315"/>
      <c r="F24" s="315"/>
    </row>
    <row r="26" spans="1:6">
      <c r="A26" s="355" t="s">
        <v>1991</v>
      </c>
      <c r="B26" s="355"/>
      <c r="C26" s="355"/>
      <c r="D26" s="355"/>
      <c r="E26" s="355"/>
      <c r="F26" s="355"/>
    </row>
    <row r="27" spans="1:6">
      <c r="A27" s="323" t="s">
        <v>1992</v>
      </c>
      <c r="B27" s="323"/>
      <c r="C27" s="323" t="s">
        <v>1993</v>
      </c>
      <c r="D27" s="323"/>
      <c r="E27" s="323" t="s">
        <v>1994</v>
      </c>
      <c r="F27" s="323"/>
    </row>
    <row r="28" spans="1:6">
      <c r="A28" s="325" t="s">
        <v>2070</v>
      </c>
      <c r="B28" s="326"/>
      <c r="C28" s="326" t="s">
        <v>2071</v>
      </c>
      <c r="D28" s="326"/>
      <c r="E28" s="327" t="s">
        <v>2072</v>
      </c>
      <c r="F28" s="326"/>
    </row>
    <row r="29" spans="1:6">
      <c r="A29" s="325" t="s">
        <v>2073</v>
      </c>
      <c r="B29" s="326"/>
      <c r="C29" s="326" t="s">
        <v>2074</v>
      </c>
      <c r="D29" s="326"/>
      <c r="E29" s="327" t="s">
        <v>2075</v>
      </c>
      <c r="F29" s="326"/>
    </row>
    <row r="30" spans="1:6">
      <c r="A30" s="325" t="s">
        <v>2076</v>
      </c>
      <c r="B30" s="326"/>
      <c r="C30" s="326" t="s">
        <v>2077</v>
      </c>
      <c r="D30" s="326"/>
      <c r="E30" s="327" t="s">
        <v>2078</v>
      </c>
      <c r="F30" s="326"/>
    </row>
    <row r="31" spans="1:6">
      <c r="A31" s="325" t="s">
        <v>2079</v>
      </c>
      <c r="B31" s="326"/>
      <c r="C31" s="326" t="s">
        <v>2080</v>
      </c>
      <c r="D31" s="326"/>
      <c r="E31" s="327" t="s">
        <v>2081</v>
      </c>
      <c r="F31" s="326"/>
    </row>
    <row r="33" spans="1:6">
      <c r="A33" s="355" t="s">
        <v>2007</v>
      </c>
      <c r="B33" s="358"/>
      <c r="C33" s="358"/>
      <c r="D33" s="358"/>
      <c r="E33" s="358"/>
      <c r="F33" s="358"/>
    </row>
    <row r="34" spans="1:6">
      <c r="A34" s="285" t="s">
        <v>2008</v>
      </c>
      <c r="B34" s="285" t="s">
        <v>2009</v>
      </c>
      <c r="C34" s="285" t="s">
        <v>2010</v>
      </c>
      <c r="D34" s="285" t="s">
        <v>2011</v>
      </c>
      <c r="E34" s="285" t="s">
        <v>2012</v>
      </c>
      <c r="F34" s="285" t="s">
        <v>2013</v>
      </c>
    </row>
    <row r="35" spans="1:6" ht="101.45">
      <c r="A35" s="262" t="s">
        <v>837</v>
      </c>
      <c r="B35" s="262" t="s">
        <v>2082</v>
      </c>
      <c r="C35" s="262" t="s">
        <v>2083</v>
      </c>
      <c r="D35" s="262" t="s">
        <v>2084</v>
      </c>
      <c r="E35" s="262" t="s">
        <v>2085</v>
      </c>
      <c r="F35" s="262" t="s">
        <v>968</v>
      </c>
    </row>
  </sheetData>
  <mergeCells count="41">
    <mergeCell ref="A28:B28"/>
    <mergeCell ref="C28:D28"/>
    <mergeCell ref="E28:F28"/>
    <mergeCell ref="A31:B31"/>
    <mergeCell ref="C31:D31"/>
    <mergeCell ref="E31:F31"/>
    <mergeCell ref="A29:B29"/>
    <mergeCell ref="C29:D29"/>
    <mergeCell ref="E29:F29"/>
    <mergeCell ref="A30:B30"/>
    <mergeCell ref="C30:D30"/>
    <mergeCell ref="E30:F30"/>
    <mergeCell ref="A19:B19"/>
    <mergeCell ref="C19:F19"/>
    <mergeCell ref="A21:F21"/>
    <mergeCell ref="A26:F26"/>
    <mergeCell ref="A27:B27"/>
    <mergeCell ref="C27:D27"/>
    <mergeCell ref="E27:F27"/>
    <mergeCell ref="A16:B16"/>
    <mergeCell ref="C16:F16"/>
    <mergeCell ref="A17:B17"/>
    <mergeCell ref="C17:F17"/>
    <mergeCell ref="A18:B18"/>
    <mergeCell ref="C18:F18"/>
    <mergeCell ref="A33:F33"/>
    <mergeCell ref="A1:F1"/>
    <mergeCell ref="A2:F2"/>
    <mergeCell ref="A4:F4"/>
    <mergeCell ref="A5:F7"/>
    <mergeCell ref="A9:C9"/>
    <mergeCell ref="D9:F9"/>
    <mergeCell ref="A10:C10"/>
    <mergeCell ref="D10:E10"/>
    <mergeCell ref="A11:C11"/>
    <mergeCell ref="D11:E11"/>
    <mergeCell ref="A12:C12"/>
    <mergeCell ref="D12:E12"/>
    <mergeCell ref="A22:F24"/>
    <mergeCell ref="D13:E13"/>
    <mergeCell ref="A15:F15"/>
  </mergeCells>
  <pageMargins left="0.7" right="0.7" top="0.75" bottom="0.75" header="0.3" footer="0.3"/>
  <headerFooter>
    <oddFooter>&amp;L_x000D_&amp;1#&amp;"Aptos"&amp;10&amp;K000000 Confidential-Internal</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5A4C8-3E1C-4AC1-9AF2-D98DAD717872}">
  <dimension ref="A1:F35"/>
  <sheetViews>
    <sheetView topLeftCell="A16" workbookViewId="0">
      <selection activeCell="I11" sqref="I11:J11"/>
    </sheetView>
  </sheetViews>
  <sheetFormatPr defaultRowHeight="14.45"/>
  <cols>
    <col min="1" max="4" width="21.85546875" customWidth="1"/>
    <col min="5" max="5" width="16.42578125" customWidth="1"/>
    <col min="6" max="6" width="29.140625" customWidth="1"/>
  </cols>
  <sheetData>
    <row r="1" spans="1:6" ht="48" customHeight="1">
      <c r="A1" s="312" t="s">
        <v>2086</v>
      </c>
      <c r="B1" s="312"/>
      <c r="C1" s="312"/>
      <c r="D1" s="312"/>
      <c r="E1" s="312"/>
      <c r="F1" s="312"/>
    </row>
    <row r="2" spans="1:6">
      <c r="A2" s="299" t="s">
        <v>2087</v>
      </c>
      <c r="B2" s="299"/>
      <c r="C2" s="299"/>
      <c r="D2" s="299"/>
      <c r="E2" s="299"/>
      <c r="F2" s="299"/>
    </row>
    <row r="4" spans="1:6">
      <c r="A4" s="314" t="s">
        <v>1973</v>
      </c>
      <c r="B4" s="314"/>
      <c r="C4" s="314"/>
      <c r="D4" s="314"/>
      <c r="E4" s="314"/>
      <c r="F4" s="314"/>
    </row>
    <row r="5" spans="1:6">
      <c r="A5" s="320" t="s">
        <v>2088</v>
      </c>
      <c r="B5" s="320"/>
      <c r="C5" s="320"/>
      <c r="D5" s="320"/>
      <c r="E5" s="320"/>
      <c r="F5" s="320"/>
    </row>
    <row r="6" spans="1:6">
      <c r="A6" s="320"/>
      <c r="B6" s="320"/>
      <c r="C6" s="320"/>
      <c r="D6" s="320"/>
      <c r="E6" s="320"/>
      <c r="F6" s="320"/>
    </row>
    <row r="7" spans="1:6">
      <c r="A7" s="320"/>
      <c r="B7" s="320"/>
      <c r="C7" s="320"/>
      <c r="D7" s="320"/>
      <c r="E7" s="320"/>
      <c r="F7" s="320"/>
    </row>
    <row r="9" spans="1:6">
      <c r="A9" s="314" t="s">
        <v>1975</v>
      </c>
      <c r="B9" s="314"/>
      <c r="C9" s="314"/>
      <c r="D9" s="314" t="s">
        <v>1976</v>
      </c>
      <c r="E9" s="314"/>
      <c r="F9" s="314"/>
    </row>
    <row r="10" spans="1:6">
      <c r="A10" s="322" t="s">
        <v>2089</v>
      </c>
      <c r="B10" s="311"/>
      <c r="C10" s="311"/>
      <c r="D10" s="311" t="s">
        <v>2090</v>
      </c>
      <c r="E10" s="311"/>
      <c r="F10" s="83" t="s">
        <v>1074</v>
      </c>
    </row>
    <row r="11" spans="1:6">
      <c r="A11" s="322" t="s">
        <v>2091</v>
      </c>
      <c r="B11" s="311"/>
      <c r="C11" s="311"/>
      <c r="D11" s="311" t="s">
        <v>2092</v>
      </c>
      <c r="E11" s="311"/>
      <c r="F11" s="83" t="s">
        <v>1060</v>
      </c>
    </row>
    <row r="12" spans="1:6">
      <c r="A12" s="322" t="s">
        <v>2093</v>
      </c>
      <c r="B12" s="311"/>
      <c r="C12" s="311"/>
      <c r="D12" s="311" t="s">
        <v>2094</v>
      </c>
      <c r="E12" s="311"/>
      <c r="F12" s="82">
        <v>-0.3</v>
      </c>
    </row>
    <row r="13" spans="1:6">
      <c r="A13" s="73"/>
      <c r="B13" s="71"/>
      <c r="C13" s="71"/>
      <c r="D13" s="311" t="s">
        <v>2095</v>
      </c>
      <c r="E13" s="311"/>
      <c r="F13" s="83" t="s">
        <v>2096</v>
      </c>
    </row>
    <row r="15" spans="1:6">
      <c r="A15" s="314" t="s">
        <v>1981</v>
      </c>
      <c r="B15" s="314"/>
      <c r="C15" s="314"/>
      <c r="D15" s="314"/>
      <c r="E15" s="314"/>
      <c r="F15" s="314"/>
    </row>
    <row r="16" spans="1:6">
      <c r="A16" s="323" t="s">
        <v>1982</v>
      </c>
      <c r="B16" s="323"/>
      <c r="C16" s="323" t="s">
        <v>1983</v>
      </c>
      <c r="D16" s="323"/>
      <c r="E16" s="323"/>
      <c r="F16" s="323"/>
    </row>
    <row r="17" spans="1:6">
      <c r="A17" s="324" t="s">
        <v>2097</v>
      </c>
      <c r="B17" s="311"/>
      <c r="C17" s="311" t="s">
        <v>2098</v>
      </c>
      <c r="D17" s="311"/>
      <c r="E17" s="311"/>
      <c r="F17" s="311"/>
    </row>
    <row r="18" spans="1:6">
      <c r="A18" s="324" t="s">
        <v>2099</v>
      </c>
      <c r="B18" s="311"/>
      <c r="C18" s="311" t="s">
        <v>2100</v>
      </c>
      <c r="D18" s="311"/>
      <c r="E18" s="311"/>
      <c r="F18" s="311"/>
    </row>
    <row r="19" spans="1:6">
      <c r="A19" s="324" t="s">
        <v>2101</v>
      </c>
      <c r="B19" s="311"/>
      <c r="C19" s="311" t="s">
        <v>2102</v>
      </c>
      <c r="D19" s="311"/>
      <c r="E19" s="311"/>
      <c r="F19" s="311"/>
    </row>
    <row r="21" spans="1:6">
      <c r="A21" s="314" t="s">
        <v>1479</v>
      </c>
      <c r="B21" s="314"/>
      <c r="C21" s="314"/>
      <c r="D21" s="314"/>
      <c r="E21" s="314"/>
      <c r="F21" s="314"/>
    </row>
    <row r="22" spans="1:6">
      <c r="A22" s="315" t="s">
        <v>2103</v>
      </c>
      <c r="B22" s="315"/>
      <c r="C22" s="315"/>
      <c r="D22" s="315"/>
      <c r="E22" s="315"/>
      <c r="F22" s="315"/>
    </row>
    <row r="23" spans="1:6">
      <c r="A23" s="315"/>
      <c r="B23" s="315"/>
      <c r="C23" s="315"/>
      <c r="D23" s="315"/>
      <c r="E23" s="315"/>
      <c r="F23" s="315"/>
    </row>
    <row r="24" spans="1:6">
      <c r="A24" s="315"/>
      <c r="B24" s="315"/>
      <c r="C24" s="315"/>
      <c r="D24" s="315"/>
      <c r="E24" s="315"/>
      <c r="F24" s="315"/>
    </row>
    <row r="26" spans="1:6">
      <c r="A26" s="355" t="s">
        <v>1991</v>
      </c>
      <c r="B26" s="355"/>
      <c r="C26" s="355"/>
      <c r="D26" s="355"/>
      <c r="E26" s="355"/>
      <c r="F26" s="355"/>
    </row>
    <row r="27" spans="1:6">
      <c r="A27" s="323" t="s">
        <v>1992</v>
      </c>
      <c r="B27" s="323"/>
      <c r="C27" s="323" t="s">
        <v>1993</v>
      </c>
      <c r="D27" s="323"/>
      <c r="E27" s="323" t="s">
        <v>1994</v>
      </c>
      <c r="F27" s="323"/>
    </row>
    <row r="28" spans="1:6">
      <c r="A28" s="325" t="s">
        <v>2104</v>
      </c>
      <c r="B28" s="326"/>
      <c r="C28" s="326" t="s">
        <v>2105</v>
      </c>
      <c r="D28" s="326"/>
      <c r="E28" s="327" t="s">
        <v>2106</v>
      </c>
      <c r="F28" s="326"/>
    </row>
    <row r="29" spans="1:6">
      <c r="A29" s="325" t="s">
        <v>2107</v>
      </c>
      <c r="B29" s="326"/>
      <c r="C29" s="326" t="s">
        <v>2108</v>
      </c>
      <c r="D29" s="326"/>
      <c r="E29" s="327" t="s">
        <v>2109</v>
      </c>
      <c r="F29" s="326"/>
    </row>
    <row r="30" spans="1:6">
      <c r="A30" s="325" t="s">
        <v>2110</v>
      </c>
      <c r="B30" s="326"/>
      <c r="C30" s="326" t="s">
        <v>2111</v>
      </c>
      <c r="D30" s="326"/>
      <c r="E30" s="327" t="s">
        <v>2112</v>
      </c>
      <c r="F30" s="326"/>
    </row>
    <row r="31" spans="1:6">
      <c r="A31" s="325" t="s">
        <v>2113</v>
      </c>
      <c r="B31" s="326"/>
      <c r="C31" s="326" t="s">
        <v>2114</v>
      </c>
      <c r="D31" s="326"/>
      <c r="E31" s="327" t="s">
        <v>2115</v>
      </c>
      <c r="F31" s="326"/>
    </row>
    <row r="33" spans="1:6">
      <c r="A33" s="355" t="s">
        <v>2007</v>
      </c>
      <c r="B33" s="358"/>
      <c r="C33" s="358"/>
      <c r="D33" s="358"/>
      <c r="E33" s="358"/>
      <c r="F33" s="358"/>
    </row>
    <row r="34" spans="1:6">
      <c r="A34" s="285" t="s">
        <v>2008</v>
      </c>
      <c r="B34" s="285" t="s">
        <v>2009</v>
      </c>
      <c r="C34" s="285" t="s">
        <v>2010</v>
      </c>
      <c r="D34" s="285" t="s">
        <v>2011</v>
      </c>
      <c r="E34" s="285" t="s">
        <v>2012</v>
      </c>
      <c r="F34" s="285" t="s">
        <v>2013</v>
      </c>
    </row>
    <row r="35" spans="1:6" ht="87">
      <c r="A35" s="262" t="s">
        <v>843</v>
      </c>
      <c r="B35" s="262" t="s">
        <v>2116</v>
      </c>
      <c r="C35" s="262" t="s">
        <v>2117</v>
      </c>
      <c r="D35" s="262" t="s">
        <v>2118</v>
      </c>
      <c r="E35" s="262" t="s">
        <v>2119</v>
      </c>
      <c r="F35" s="262" t="s">
        <v>974</v>
      </c>
    </row>
  </sheetData>
  <mergeCells count="41">
    <mergeCell ref="A28:B28"/>
    <mergeCell ref="C28:D28"/>
    <mergeCell ref="E28:F28"/>
    <mergeCell ref="A31:B31"/>
    <mergeCell ref="C31:D31"/>
    <mergeCell ref="E31:F31"/>
    <mergeCell ref="A29:B29"/>
    <mergeCell ref="C29:D29"/>
    <mergeCell ref="E29:F29"/>
    <mergeCell ref="A30:B30"/>
    <mergeCell ref="C30:D30"/>
    <mergeCell ref="E30:F30"/>
    <mergeCell ref="A19:B19"/>
    <mergeCell ref="C19:F19"/>
    <mergeCell ref="A21:F21"/>
    <mergeCell ref="A26:F26"/>
    <mergeCell ref="A27:B27"/>
    <mergeCell ref="C27:D27"/>
    <mergeCell ref="E27:F27"/>
    <mergeCell ref="A16:B16"/>
    <mergeCell ref="C16:F16"/>
    <mergeCell ref="A17:B17"/>
    <mergeCell ref="C17:F17"/>
    <mergeCell ref="A18:B18"/>
    <mergeCell ref="C18:F18"/>
    <mergeCell ref="A33:F33"/>
    <mergeCell ref="A1:F1"/>
    <mergeCell ref="A2:F2"/>
    <mergeCell ref="A4:F4"/>
    <mergeCell ref="A5:F7"/>
    <mergeCell ref="A9:C9"/>
    <mergeCell ref="D9:F9"/>
    <mergeCell ref="A10:C10"/>
    <mergeCell ref="D10:E10"/>
    <mergeCell ref="A11:C11"/>
    <mergeCell ref="D11:E11"/>
    <mergeCell ref="A12:C12"/>
    <mergeCell ref="D12:E12"/>
    <mergeCell ref="A22:F24"/>
    <mergeCell ref="D13:E13"/>
    <mergeCell ref="A15:F15"/>
  </mergeCells>
  <pageMargins left="0.7" right="0.7" top="0.75" bottom="0.75" header="0.3" footer="0.3"/>
  <headerFooter>
    <oddFooter>&amp;L_x000D_&amp;1#&amp;"Aptos"&amp;10&amp;K000000 Confidential-Internal</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B926E-C82E-41F4-9C60-1EE77B1C92C2}">
  <dimension ref="A1:F35"/>
  <sheetViews>
    <sheetView topLeftCell="A22" workbookViewId="0">
      <selection activeCell="I11" sqref="I11:J11"/>
    </sheetView>
  </sheetViews>
  <sheetFormatPr defaultRowHeight="14.45"/>
  <cols>
    <col min="1" max="4" width="21.85546875" customWidth="1"/>
    <col min="5" max="5" width="16.42578125" customWidth="1"/>
    <col min="6" max="6" width="29.140625" customWidth="1"/>
  </cols>
  <sheetData>
    <row r="1" spans="1:6" ht="48" customHeight="1">
      <c r="A1" s="312" t="s">
        <v>2120</v>
      </c>
      <c r="B1" s="312"/>
      <c r="C1" s="312"/>
      <c r="D1" s="312"/>
      <c r="E1" s="312"/>
      <c r="F1" s="312"/>
    </row>
    <row r="2" spans="1:6">
      <c r="A2" s="299" t="s">
        <v>2121</v>
      </c>
      <c r="B2" s="299"/>
      <c r="C2" s="299"/>
      <c r="D2" s="299"/>
      <c r="E2" s="299"/>
      <c r="F2" s="299"/>
    </row>
    <row r="4" spans="1:6">
      <c r="A4" s="314" t="s">
        <v>1973</v>
      </c>
      <c r="B4" s="314"/>
      <c r="C4" s="314"/>
      <c r="D4" s="314"/>
      <c r="E4" s="314"/>
      <c r="F4" s="314"/>
    </row>
    <row r="5" spans="1:6">
      <c r="A5" s="320" t="s">
        <v>2122</v>
      </c>
      <c r="B5" s="320"/>
      <c r="C5" s="320"/>
      <c r="D5" s="320"/>
      <c r="E5" s="320"/>
      <c r="F5" s="320"/>
    </row>
    <row r="6" spans="1:6">
      <c r="A6" s="320"/>
      <c r="B6" s="320"/>
      <c r="C6" s="320"/>
      <c r="D6" s="320"/>
      <c r="E6" s="320"/>
      <c r="F6" s="320"/>
    </row>
    <row r="7" spans="1:6">
      <c r="A7" s="320"/>
      <c r="B7" s="320"/>
      <c r="C7" s="320"/>
      <c r="D7" s="320"/>
      <c r="E7" s="320"/>
      <c r="F7" s="320"/>
    </row>
    <row r="9" spans="1:6">
      <c r="A9" s="314" t="s">
        <v>1975</v>
      </c>
      <c r="B9" s="314"/>
      <c r="C9" s="314"/>
      <c r="D9" s="314" t="s">
        <v>1976</v>
      </c>
      <c r="E9" s="314"/>
      <c r="F9" s="314"/>
    </row>
    <row r="10" spans="1:6">
      <c r="A10" s="322" t="s">
        <v>2123</v>
      </c>
      <c r="B10" s="311"/>
      <c r="C10" s="311"/>
      <c r="D10" s="311" t="s">
        <v>2124</v>
      </c>
      <c r="E10" s="311"/>
      <c r="F10" s="82">
        <v>-0.6</v>
      </c>
    </row>
    <row r="11" spans="1:6">
      <c r="A11" s="322" t="s">
        <v>2125</v>
      </c>
      <c r="B11" s="311"/>
      <c r="C11" s="311"/>
      <c r="D11" s="311" t="s">
        <v>2126</v>
      </c>
      <c r="E11" s="311"/>
      <c r="F11" s="82">
        <v>-0.7</v>
      </c>
    </row>
    <row r="12" spans="1:6">
      <c r="A12" s="322" t="s">
        <v>2127</v>
      </c>
      <c r="B12" s="311"/>
      <c r="C12" s="311"/>
      <c r="D12" s="311" t="s">
        <v>2128</v>
      </c>
      <c r="E12" s="311"/>
      <c r="F12" s="83" t="s">
        <v>1047</v>
      </c>
    </row>
    <row r="13" spans="1:6">
      <c r="A13" s="322" t="s">
        <v>2129</v>
      </c>
      <c r="B13" s="311"/>
      <c r="C13" s="311"/>
      <c r="D13" s="311" t="s">
        <v>2130</v>
      </c>
      <c r="E13" s="311"/>
      <c r="F13" s="82">
        <v>-0.5</v>
      </c>
    </row>
    <row r="15" spans="1:6">
      <c r="A15" s="314" t="s">
        <v>1981</v>
      </c>
      <c r="B15" s="314"/>
      <c r="C15" s="314"/>
      <c r="D15" s="314"/>
      <c r="E15" s="314"/>
      <c r="F15" s="314"/>
    </row>
    <row r="16" spans="1:6">
      <c r="A16" s="323" t="s">
        <v>1982</v>
      </c>
      <c r="B16" s="323"/>
      <c r="C16" s="323" t="s">
        <v>1983</v>
      </c>
      <c r="D16" s="323"/>
      <c r="E16" s="323"/>
      <c r="F16" s="323"/>
    </row>
    <row r="17" spans="1:6">
      <c r="A17" s="324" t="s">
        <v>2131</v>
      </c>
      <c r="B17" s="311"/>
      <c r="C17" s="311" t="s">
        <v>2132</v>
      </c>
      <c r="D17" s="311"/>
      <c r="E17" s="311"/>
      <c r="F17" s="311"/>
    </row>
    <row r="18" spans="1:6">
      <c r="A18" s="324" t="s">
        <v>2133</v>
      </c>
      <c r="B18" s="311"/>
      <c r="C18" s="311" t="s">
        <v>2134</v>
      </c>
      <c r="D18" s="311"/>
      <c r="E18" s="311"/>
      <c r="F18" s="311"/>
    </row>
    <row r="19" spans="1:6">
      <c r="A19" s="324" t="s">
        <v>2135</v>
      </c>
      <c r="B19" s="311"/>
      <c r="C19" s="311" t="s">
        <v>2136</v>
      </c>
      <c r="D19" s="311"/>
      <c r="E19" s="311"/>
      <c r="F19" s="311"/>
    </row>
    <row r="21" spans="1:6">
      <c r="A21" s="314" t="s">
        <v>1479</v>
      </c>
      <c r="B21" s="314"/>
      <c r="C21" s="314"/>
      <c r="D21" s="314"/>
      <c r="E21" s="314"/>
      <c r="F21" s="314"/>
    </row>
    <row r="22" spans="1:6">
      <c r="A22" s="315" t="s">
        <v>2137</v>
      </c>
      <c r="B22" s="315"/>
      <c r="C22" s="315"/>
      <c r="D22" s="315"/>
      <c r="E22" s="315"/>
      <c r="F22" s="315"/>
    </row>
    <row r="23" spans="1:6">
      <c r="A23" s="315"/>
      <c r="B23" s="315"/>
      <c r="C23" s="315"/>
      <c r="D23" s="315"/>
      <c r="E23" s="315"/>
      <c r="F23" s="315"/>
    </row>
    <row r="24" spans="1:6">
      <c r="A24" s="315"/>
      <c r="B24" s="315"/>
      <c r="C24" s="315"/>
      <c r="D24" s="315"/>
      <c r="E24" s="315"/>
      <c r="F24" s="315"/>
    </row>
    <row r="26" spans="1:6">
      <c r="A26" s="355" t="s">
        <v>1991</v>
      </c>
      <c r="B26" s="355"/>
      <c r="C26" s="355"/>
      <c r="D26" s="355"/>
      <c r="E26" s="355"/>
      <c r="F26" s="355"/>
    </row>
    <row r="27" spans="1:6">
      <c r="A27" s="323" t="s">
        <v>1992</v>
      </c>
      <c r="B27" s="323"/>
      <c r="C27" s="323" t="s">
        <v>1993</v>
      </c>
      <c r="D27" s="323"/>
      <c r="E27" s="323" t="s">
        <v>1994</v>
      </c>
      <c r="F27" s="323"/>
    </row>
    <row r="28" spans="1:6">
      <c r="A28" s="325" t="s">
        <v>2138</v>
      </c>
      <c r="B28" s="326"/>
      <c r="C28" s="326" t="s">
        <v>2139</v>
      </c>
      <c r="D28" s="326"/>
      <c r="E28" s="327" t="s">
        <v>2140</v>
      </c>
      <c r="F28" s="326"/>
    </row>
    <row r="29" spans="1:6">
      <c r="A29" s="325" t="s">
        <v>2141</v>
      </c>
      <c r="B29" s="326"/>
      <c r="C29" s="326" t="s">
        <v>2142</v>
      </c>
      <c r="D29" s="326"/>
      <c r="E29" s="327" t="s">
        <v>2143</v>
      </c>
      <c r="F29" s="326"/>
    </row>
    <row r="30" spans="1:6">
      <c r="A30" s="325" t="s">
        <v>2144</v>
      </c>
      <c r="B30" s="326"/>
      <c r="C30" s="326" t="s">
        <v>2145</v>
      </c>
      <c r="D30" s="326"/>
      <c r="E30" s="327" t="s">
        <v>2146</v>
      </c>
      <c r="F30" s="326"/>
    </row>
    <row r="31" spans="1:6">
      <c r="A31" s="325" t="s">
        <v>2147</v>
      </c>
      <c r="B31" s="326"/>
      <c r="C31" s="326" t="s">
        <v>2148</v>
      </c>
      <c r="D31" s="326"/>
      <c r="E31" s="327" t="s">
        <v>2149</v>
      </c>
      <c r="F31" s="326"/>
    </row>
    <row r="33" spans="1:6">
      <c r="A33" s="355" t="s">
        <v>2007</v>
      </c>
      <c r="B33" s="358"/>
      <c r="C33" s="358"/>
      <c r="D33" s="358"/>
      <c r="E33" s="358"/>
      <c r="F33" s="358"/>
    </row>
    <row r="34" spans="1:6">
      <c r="A34" s="285" t="s">
        <v>2008</v>
      </c>
      <c r="B34" s="285" t="s">
        <v>2009</v>
      </c>
      <c r="C34" s="285" t="s">
        <v>2010</v>
      </c>
      <c r="D34" s="285" t="s">
        <v>2011</v>
      </c>
      <c r="E34" s="285" t="s">
        <v>2012</v>
      </c>
      <c r="F34" s="285" t="s">
        <v>2013</v>
      </c>
    </row>
    <row r="35" spans="1:6" ht="116.1">
      <c r="A35" s="262" t="s">
        <v>849</v>
      </c>
      <c r="B35" s="262" t="s">
        <v>2150</v>
      </c>
      <c r="C35" s="262" t="s">
        <v>2151</v>
      </c>
      <c r="D35" s="262" t="s">
        <v>2152</v>
      </c>
      <c r="E35" s="262" t="s">
        <v>2153</v>
      </c>
      <c r="F35" s="262" t="s">
        <v>980</v>
      </c>
    </row>
  </sheetData>
  <mergeCells count="42">
    <mergeCell ref="A31:B31"/>
    <mergeCell ref="C31:D31"/>
    <mergeCell ref="E31:F31"/>
    <mergeCell ref="A29:B29"/>
    <mergeCell ref="C29:D29"/>
    <mergeCell ref="E29:F29"/>
    <mergeCell ref="A30:B30"/>
    <mergeCell ref="C30:D30"/>
    <mergeCell ref="E30:F30"/>
    <mergeCell ref="A26:F26"/>
    <mergeCell ref="A27:B27"/>
    <mergeCell ref="C27:D27"/>
    <mergeCell ref="E27:F27"/>
    <mergeCell ref="A28:B28"/>
    <mergeCell ref="C28:D28"/>
    <mergeCell ref="E28:F28"/>
    <mergeCell ref="A18:B18"/>
    <mergeCell ref="C18:F18"/>
    <mergeCell ref="A19:B19"/>
    <mergeCell ref="C19:F19"/>
    <mergeCell ref="A21:F21"/>
    <mergeCell ref="A15:F15"/>
    <mergeCell ref="A16:B16"/>
    <mergeCell ref="C16:F16"/>
    <mergeCell ref="A17:B17"/>
    <mergeCell ref="C17:F17"/>
    <mergeCell ref="A33:F33"/>
    <mergeCell ref="A1:F1"/>
    <mergeCell ref="A2:F2"/>
    <mergeCell ref="A4:F4"/>
    <mergeCell ref="A5:F7"/>
    <mergeCell ref="A9:C9"/>
    <mergeCell ref="D9:F9"/>
    <mergeCell ref="A10:C10"/>
    <mergeCell ref="D10:E10"/>
    <mergeCell ref="A11:C11"/>
    <mergeCell ref="D11:E11"/>
    <mergeCell ref="A12:C12"/>
    <mergeCell ref="D12:E12"/>
    <mergeCell ref="A22:F24"/>
    <mergeCell ref="A13:C13"/>
    <mergeCell ref="D13:E13"/>
  </mergeCells>
  <pageMargins left="0.7" right="0.7" top="0.75" bottom="0.75" header="0.3" footer="0.3"/>
  <headerFooter>
    <oddFooter>&amp;L_x000D_&amp;1#&amp;"Aptos"&amp;10&amp;K000000 Confidential-Internal</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5F363-D17B-48CB-B879-3FB4463EB7C0}">
  <dimension ref="A1:F35"/>
  <sheetViews>
    <sheetView topLeftCell="A25" workbookViewId="0">
      <selection activeCell="I11" sqref="I11:J11"/>
    </sheetView>
  </sheetViews>
  <sheetFormatPr defaultRowHeight="14.45"/>
  <cols>
    <col min="1" max="4" width="21.85546875" customWidth="1"/>
    <col min="5" max="5" width="16.42578125" customWidth="1"/>
    <col min="6" max="6" width="29.140625" customWidth="1"/>
  </cols>
  <sheetData>
    <row r="1" spans="1:6" ht="48" customHeight="1">
      <c r="A1" s="312" t="s">
        <v>2154</v>
      </c>
      <c r="B1" s="312"/>
      <c r="C1" s="312"/>
      <c r="D1" s="312"/>
      <c r="E1" s="312"/>
      <c r="F1" s="312"/>
    </row>
    <row r="2" spans="1:6">
      <c r="A2" s="299" t="s">
        <v>2155</v>
      </c>
      <c r="B2" s="299"/>
      <c r="C2" s="299"/>
      <c r="D2" s="299"/>
      <c r="E2" s="299"/>
      <c r="F2" s="299"/>
    </row>
    <row r="4" spans="1:6">
      <c r="A4" s="314" t="s">
        <v>1973</v>
      </c>
      <c r="B4" s="314"/>
      <c r="C4" s="314"/>
      <c r="D4" s="314"/>
      <c r="E4" s="314"/>
      <c r="F4" s="314"/>
    </row>
    <row r="5" spans="1:6">
      <c r="A5" s="320" t="s">
        <v>2156</v>
      </c>
      <c r="B5" s="320"/>
      <c r="C5" s="320"/>
      <c r="D5" s="320"/>
      <c r="E5" s="320"/>
      <c r="F5" s="320"/>
    </row>
    <row r="6" spans="1:6">
      <c r="A6" s="320"/>
      <c r="B6" s="320"/>
      <c r="C6" s="320"/>
      <c r="D6" s="320"/>
      <c r="E6" s="320"/>
      <c r="F6" s="320"/>
    </row>
    <row r="7" spans="1:6">
      <c r="A7" s="320"/>
      <c r="B7" s="320"/>
      <c r="C7" s="320"/>
      <c r="D7" s="320"/>
      <c r="E7" s="320"/>
      <c r="F7" s="320"/>
    </row>
    <row r="9" spans="1:6">
      <c r="A9" s="314" t="s">
        <v>1975</v>
      </c>
      <c r="B9" s="314"/>
      <c r="C9" s="314"/>
      <c r="D9" s="314" t="s">
        <v>1976</v>
      </c>
      <c r="E9" s="314"/>
      <c r="F9" s="314"/>
    </row>
    <row r="10" spans="1:6">
      <c r="A10" s="322" t="s">
        <v>2157</v>
      </c>
      <c r="B10" s="311"/>
      <c r="C10" s="311"/>
      <c r="D10" s="311" t="s">
        <v>2158</v>
      </c>
      <c r="E10" s="311"/>
      <c r="F10" s="83" t="s">
        <v>2159</v>
      </c>
    </row>
    <row r="11" spans="1:6">
      <c r="A11" s="322" t="s">
        <v>2160</v>
      </c>
      <c r="B11" s="311"/>
      <c r="C11" s="311"/>
      <c r="D11" s="311" t="s">
        <v>2161</v>
      </c>
      <c r="E11" s="311"/>
      <c r="F11" s="83" t="s">
        <v>2162</v>
      </c>
    </row>
    <row r="12" spans="1:6">
      <c r="A12" s="322" t="s">
        <v>2163</v>
      </c>
      <c r="B12" s="311"/>
      <c r="C12" s="311"/>
      <c r="D12" s="311" t="s">
        <v>2164</v>
      </c>
      <c r="E12" s="311"/>
      <c r="F12" s="83" t="s">
        <v>2165</v>
      </c>
    </row>
    <row r="13" spans="1:6">
      <c r="A13" s="322" t="s">
        <v>2166</v>
      </c>
      <c r="B13" s="311"/>
      <c r="C13" s="311"/>
      <c r="D13" s="311" t="s">
        <v>2167</v>
      </c>
      <c r="E13" s="311"/>
      <c r="F13" s="83" t="s">
        <v>1047</v>
      </c>
    </row>
    <row r="15" spans="1:6">
      <c r="A15" s="314" t="s">
        <v>1981</v>
      </c>
      <c r="B15" s="314"/>
      <c r="C15" s="314"/>
      <c r="D15" s="314"/>
      <c r="E15" s="314"/>
      <c r="F15" s="314"/>
    </row>
    <row r="16" spans="1:6">
      <c r="A16" s="323" t="s">
        <v>1982</v>
      </c>
      <c r="B16" s="323"/>
      <c r="C16" s="323" t="s">
        <v>1983</v>
      </c>
      <c r="D16" s="323"/>
      <c r="E16" s="323"/>
      <c r="F16" s="323"/>
    </row>
    <row r="17" spans="1:6">
      <c r="A17" s="324" t="s">
        <v>2168</v>
      </c>
      <c r="B17" s="311"/>
      <c r="C17" s="311" t="s">
        <v>2169</v>
      </c>
      <c r="D17" s="311"/>
      <c r="E17" s="311"/>
      <c r="F17" s="311"/>
    </row>
    <row r="18" spans="1:6">
      <c r="A18" s="324" t="s">
        <v>2170</v>
      </c>
      <c r="B18" s="311"/>
      <c r="C18" s="311" t="s">
        <v>2171</v>
      </c>
      <c r="D18" s="311"/>
      <c r="E18" s="311"/>
      <c r="F18" s="311"/>
    </row>
    <row r="19" spans="1:6">
      <c r="A19" s="324" t="s">
        <v>2172</v>
      </c>
      <c r="B19" s="311"/>
      <c r="C19" s="311" t="s">
        <v>2173</v>
      </c>
      <c r="D19" s="311"/>
      <c r="E19" s="311"/>
      <c r="F19" s="311"/>
    </row>
    <row r="21" spans="1:6">
      <c r="A21" s="314" t="s">
        <v>1479</v>
      </c>
      <c r="B21" s="314"/>
      <c r="C21" s="314"/>
      <c r="D21" s="314"/>
      <c r="E21" s="314"/>
      <c r="F21" s="314"/>
    </row>
    <row r="22" spans="1:6">
      <c r="A22" s="315" t="s">
        <v>2174</v>
      </c>
      <c r="B22" s="315"/>
      <c r="C22" s="315"/>
      <c r="D22" s="315"/>
      <c r="E22" s="315"/>
      <c r="F22" s="315"/>
    </row>
    <row r="23" spans="1:6">
      <c r="A23" s="315"/>
      <c r="B23" s="315"/>
      <c r="C23" s="315"/>
      <c r="D23" s="315"/>
      <c r="E23" s="315"/>
      <c r="F23" s="315"/>
    </row>
    <row r="24" spans="1:6">
      <c r="A24" s="315"/>
      <c r="B24" s="315"/>
      <c r="C24" s="315"/>
      <c r="D24" s="315"/>
      <c r="E24" s="315"/>
      <c r="F24" s="315"/>
    </row>
    <row r="26" spans="1:6">
      <c r="A26" s="355" t="s">
        <v>1991</v>
      </c>
      <c r="B26" s="355"/>
      <c r="C26" s="355"/>
      <c r="D26" s="355"/>
      <c r="E26" s="355"/>
      <c r="F26" s="355"/>
    </row>
    <row r="27" spans="1:6">
      <c r="A27" s="323" t="s">
        <v>1992</v>
      </c>
      <c r="B27" s="323"/>
      <c r="C27" s="323" t="s">
        <v>1993</v>
      </c>
      <c r="D27" s="323"/>
      <c r="E27" s="323" t="s">
        <v>1994</v>
      </c>
      <c r="F27" s="323"/>
    </row>
    <row r="28" spans="1:6">
      <c r="A28" s="325" t="s">
        <v>2175</v>
      </c>
      <c r="B28" s="326"/>
      <c r="C28" s="326" t="s">
        <v>2176</v>
      </c>
      <c r="D28" s="326"/>
      <c r="E28" s="327" t="s">
        <v>2177</v>
      </c>
      <c r="F28" s="326"/>
    </row>
    <row r="29" spans="1:6">
      <c r="A29" s="325" t="s">
        <v>2178</v>
      </c>
      <c r="B29" s="326"/>
      <c r="C29" s="326" t="s">
        <v>2179</v>
      </c>
      <c r="D29" s="326"/>
      <c r="E29" s="327" t="s">
        <v>2180</v>
      </c>
      <c r="F29" s="326"/>
    </row>
    <row r="30" spans="1:6">
      <c r="A30" s="325" t="s">
        <v>2181</v>
      </c>
      <c r="B30" s="326"/>
      <c r="C30" s="326" t="s">
        <v>2182</v>
      </c>
      <c r="D30" s="326"/>
      <c r="E30" s="327" t="s">
        <v>2183</v>
      </c>
      <c r="F30" s="326"/>
    </row>
    <row r="31" spans="1:6">
      <c r="A31" s="325" t="s">
        <v>2184</v>
      </c>
      <c r="B31" s="326"/>
      <c r="C31" s="326" t="s">
        <v>2185</v>
      </c>
      <c r="D31" s="326"/>
      <c r="E31" s="327" t="s">
        <v>2186</v>
      </c>
      <c r="F31" s="326"/>
    </row>
    <row r="33" spans="1:6">
      <c r="A33" s="355" t="s">
        <v>2007</v>
      </c>
      <c r="B33" s="358"/>
      <c r="C33" s="358"/>
      <c r="D33" s="358"/>
      <c r="E33" s="358"/>
      <c r="F33" s="358"/>
    </row>
    <row r="34" spans="1:6">
      <c r="A34" s="285" t="s">
        <v>2008</v>
      </c>
      <c r="B34" s="285" t="s">
        <v>2009</v>
      </c>
      <c r="C34" s="285" t="s">
        <v>2010</v>
      </c>
      <c r="D34" s="285" t="s">
        <v>2011</v>
      </c>
      <c r="E34" s="285" t="s">
        <v>2012</v>
      </c>
      <c r="F34" s="285" t="s">
        <v>2013</v>
      </c>
    </row>
    <row r="35" spans="1:6" ht="101.45">
      <c r="A35" s="262" t="s">
        <v>855</v>
      </c>
      <c r="B35" s="262" t="s">
        <v>2187</v>
      </c>
      <c r="C35" s="262" t="s">
        <v>2188</v>
      </c>
      <c r="D35" s="262" t="s">
        <v>2189</v>
      </c>
      <c r="E35" s="262" t="s">
        <v>2190</v>
      </c>
      <c r="F35" s="262" t="s">
        <v>986</v>
      </c>
    </row>
  </sheetData>
  <mergeCells count="42">
    <mergeCell ref="A31:B31"/>
    <mergeCell ref="C31:D31"/>
    <mergeCell ref="E31:F31"/>
    <mergeCell ref="A29:B29"/>
    <mergeCell ref="C29:D29"/>
    <mergeCell ref="E29:F29"/>
    <mergeCell ref="A30:B30"/>
    <mergeCell ref="C30:D30"/>
    <mergeCell ref="E30:F30"/>
    <mergeCell ref="A26:F26"/>
    <mergeCell ref="A27:B27"/>
    <mergeCell ref="C27:D27"/>
    <mergeCell ref="E27:F27"/>
    <mergeCell ref="A28:B28"/>
    <mergeCell ref="C28:D28"/>
    <mergeCell ref="E28:F28"/>
    <mergeCell ref="A18:B18"/>
    <mergeCell ref="C18:F18"/>
    <mergeCell ref="A19:B19"/>
    <mergeCell ref="C19:F19"/>
    <mergeCell ref="A21:F21"/>
    <mergeCell ref="A15:F15"/>
    <mergeCell ref="A16:B16"/>
    <mergeCell ref="C16:F16"/>
    <mergeCell ref="A17:B17"/>
    <mergeCell ref="C17:F17"/>
    <mergeCell ref="A33:F33"/>
    <mergeCell ref="A1:F1"/>
    <mergeCell ref="A2:F2"/>
    <mergeCell ref="A4:F4"/>
    <mergeCell ref="A5:F7"/>
    <mergeCell ref="A9:C9"/>
    <mergeCell ref="D9:F9"/>
    <mergeCell ref="A10:C10"/>
    <mergeCell ref="D10:E10"/>
    <mergeCell ref="A11:C11"/>
    <mergeCell ref="D11:E11"/>
    <mergeCell ref="A12:C12"/>
    <mergeCell ref="D12:E12"/>
    <mergeCell ref="A22:F24"/>
    <mergeCell ref="A13:C13"/>
    <mergeCell ref="D13:E13"/>
  </mergeCells>
  <pageMargins left="0.7" right="0.7" top="0.75" bottom="0.75" header="0.3" footer="0.3"/>
  <headerFooter>
    <oddFooter>&amp;L_x000D_&amp;1#&amp;"Aptos"&amp;10&amp;K000000 Confidential-Internal</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A27AE-D25E-45D1-9340-4FE9F4458392}">
  <dimension ref="A1:J117"/>
  <sheetViews>
    <sheetView topLeftCell="A2" zoomScale="70" zoomScaleNormal="70" workbookViewId="0">
      <selection activeCell="I11" sqref="I11:J11"/>
    </sheetView>
  </sheetViews>
  <sheetFormatPr defaultRowHeight="14.45"/>
  <cols>
    <col min="1" max="1" width="24.5703125" customWidth="1"/>
    <col min="2" max="2" width="13.5703125" customWidth="1"/>
    <col min="3" max="3" width="27.140625" customWidth="1"/>
    <col min="4" max="4" width="24.5703125" customWidth="1"/>
    <col min="5" max="5" width="34.5703125" customWidth="1"/>
    <col min="6" max="6" width="36.42578125" style="57" customWidth="1"/>
    <col min="7" max="7" width="28.140625" style="57" customWidth="1"/>
    <col min="8" max="9" width="26.42578125" style="57" customWidth="1"/>
    <col min="10" max="10" width="19.5703125" style="57" customWidth="1"/>
  </cols>
  <sheetData>
    <row r="1" spans="1:10" ht="15.95" thickBot="1">
      <c r="A1" s="1"/>
      <c r="B1" s="2"/>
      <c r="C1" s="2"/>
      <c r="D1" s="2"/>
      <c r="E1" s="2"/>
    </row>
    <row r="2" spans="1:10" ht="15.95" thickBot="1">
      <c r="B2" s="3" t="s">
        <v>2191</v>
      </c>
      <c r="C2" s="3" t="s">
        <v>2192</v>
      </c>
      <c r="D2" s="46" t="s">
        <v>2193</v>
      </c>
      <c r="E2" s="6" t="s">
        <v>2194</v>
      </c>
      <c r="F2" s="53" t="s">
        <v>1626</v>
      </c>
      <c r="G2" s="53" t="s">
        <v>2195</v>
      </c>
      <c r="H2" s="53" t="s">
        <v>2196</v>
      </c>
      <c r="I2" s="53" t="s">
        <v>2197</v>
      </c>
      <c r="J2" s="53" t="s">
        <v>2198</v>
      </c>
    </row>
    <row r="3" spans="1:10" ht="78" thickBot="1">
      <c r="A3" s="3" t="s">
        <v>2199</v>
      </c>
      <c r="B3" s="2" t="s">
        <v>2200</v>
      </c>
      <c r="C3" s="1" t="s">
        <v>2201</v>
      </c>
      <c r="D3" s="47" t="s">
        <v>2202</v>
      </c>
      <c r="E3" s="49" t="s">
        <v>2203</v>
      </c>
      <c r="F3" s="54" t="s">
        <v>2204</v>
      </c>
      <c r="G3" s="54" t="s">
        <v>2205</v>
      </c>
      <c r="H3" s="54" t="s">
        <v>2206</v>
      </c>
      <c r="I3" s="54" t="s">
        <v>2207</v>
      </c>
      <c r="J3" s="54" t="s">
        <v>2208</v>
      </c>
    </row>
    <row r="4" spans="1:10" ht="47.1" thickBot="1">
      <c r="B4" s="2"/>
      <c r="C4" s="2"/>
      <c r="D4" s="2"/>
      <c r="E4" s="2"/>
      <c r="F4" s="54" t="s">
        <v>2209</v>
      </c>
      <c r="G4" s="54" t="s">
        <v>2210</v>
      </c>
      <c r="H4" s="54" t="s">
        <v>2211</v>
      </c>
      <c r="I4" s="54" t="s">
        <v>2212</v>
      </c>
      <c r="J4" s="54" t="s">
        <v>2213</v>
      </c>
    </row>
    <row r="5" spans="1:10" ht="47.1" thickBot="1">
      <c r="A5" s="1"/>
      <c r="B5" s="2"/>
      <c r="C5" s="2"/>
      <c r="D5" s="2"/>
      <c r="E5" s="2"/>
      <c r="F5" s="54" t="s">
        <v>2214</v>
      </c>
      <c r="G5" s="54" t="s">
        <v>2215</v>
      </c>
      <c r="H5" s="54" t="s">
        <v>2216</v>
      </c>
      <c r="I5" s="54" t="s">
        <v>2217</v>
      </c>
      <c r="J5" s="54" t="s">
        <v>2218</v>
      </c>
    </row>
    <row r="6" spans="1:10" ht="47.1" thickBot="1">
      <c r="B6" s="2"/>
      <c r="C6" s="2"/>
      <c r="D6" s="2"/>
      <c r="E6" s="2"/>
      <c r="F6" s="54" t="s">
        <v>2219</v>
      </c>
      <c r="G6" s="54" t="s">
        <v>2220</v>
      </c>
      <c r="H6" s="54" t="s">
        <v>2221</v>
      </c>
      <c r="I6" s="54" t="s">
        <v>2222</v>
      </c>
      <c r="J6" s="54" t="s">
        <v>2223</v>
      </c>
    </row>
    <row r="7" spans="1:10" ht="47.1" thickBot="1">
      <c r="A7" s="1"/>
      <c r="B7" s="2"/>
      <c r="C7" s="2"/>
      <c r="D7" s="2"/>
      <c r="E7" s="2"/>
      <c r="F7" s="54" t="s">
        <v>2224</v>
      </c>
      <c r="G7" s="54" t="s">
        <v>2225</v>
      </c>
      <c r="H7" s="54" t="s">
        <v>2226</v>
      </c>
      <c r="I7" s="54" t="s">
        <v>2227</v>
      </c>
      <c r="J7" s="54" t="s">
        <v>2228</v>
      </c>
    </row>
    <row r="8" spans="1:10" ht="47.1" thickBot="1">
      <c r="B8" s="2"/>
      <c r="C8" s="2"/>
      <c r="D8" s="2"/>
      <c r="E8" s="2"/>
      <c r="F8" s="54" t="s">
        <v>2229</v>
      </c>
      <c r="G8" s="54" t="s">
        <v>2230</v>
      </c>
      <c r="H8" s="54" t="s">
        <v>2231</v>
      </c>
      <c r="I8" s="54" t="s">
        <v>2232</v>
      </c>
      <c r="J8" s="54" t="s">
        <v>2233</v>
      </c>
    </row>
    <row r="9" spans="1:10" ht="47.1" thickBot="1">
      <c r="A9" s="1"/>
      <c r="B9" s="2"/>
      <c r="C9" s="2"/>
      <c r="D9" s="2"/>
      <c r="E9" s="2"/>
      <c r="F9" s="54" t="s">
        <v>2234</v>
      </c>
      <c r="G9" s="54" t="s">
        <v>2235</v>
      </c>
      <c r="H9" s="54" t="s">
        <v>2236</v>
      </c>
      <c r="I9" s="54" t="s">
        <v>2237</v>
      </c>
      <c r="J9" s="54" t="s">
        <v>2238</v>
      </c>
    </row>
    <row r="10" spans="1:10" ht="47.1" thickBot="1">
      <c r="A10" s="2"/>
      <c r="B10" s="2"/>
      <c r="C10" s="2"/>
      <c r="D10" s="2"/>
      <c r="E10" s="2"/>
      <c r="F10" s="54" t="s">
        <v>2239</v>
      </c>
      <c r="G10" s="54" t="s">
        <v>2240</v>
      </c>
      <c r="H10" s="54" t="s">
        <v>2241</v>
      </c>
      <c r="I10" s="54" t="s">
        <v>2242</v>
      </c>
      <c r="J10" s="54" t="s">
        <v>2243</v>
      </c>
    </row>
    <row r="11" spans="1:10" ht="47.1" thickBot="1">
      <c r="A11" s="1"/>
      <c r="B11" s="2"/>
      <c r="C11" s="2"/>
      <c r="D11" s="2"/>
      <c r="E11" s="2"/>
      <c r="F11" s="54" t="s">
        <v>2244</v>
      </c>
      <c r="G11" s="54" t="s">
        <v>2245</v>
      </c>
      <c r="H11" s="54" t="s">
        <v>2246</v>
      </c>
      <c r="I11" s="54" t="s">
        <v>2247</v>
      </c>
      <c r="J11" s="54" t="s">
        <v>2248</v>
      </c>
    </row>
    <row r="12" spans="1:10" ht="47.1" thickBot="1">
      <c r="B12" s="2"/>
      <c r="C12" s="2"/>
      <c r="D12" s="2"/>
      <c r="E12" s="2"/>
      <c r="F12" s="54" t="s">
        <v>2249</v>
      </c>
      <c r="G12" s="54" t="s">
        <v>2250</v>
      </c>
      <c r="H12" s="54" t="s">
        <v>2251</v>
      </c>
      <c r="I12" s="54" t="s">
        <v>2252</v>
      </c>
      <c r="J12" s="54" t="s">
        <v>2253</v>
      </c>
    </row>
    <row r="13" spans="1:10" ht="47.1" thickBot="1">
      <c r="A13" s="1"/>
      <c r="B13" s="2"/>
      <c r="C13" s="2"/>
      <c r="D13" s="2"/>
      <c r="E13" s="2"/>
      <c r="F13" s="54" t="s">
        <v>2254</v>
      </c>
      <c r="G13" s="54" t="s">
        <v>2255</v>
      </c>
      <c r="H13" s="54" t="s">
        <v>2256</v>
      </c>
      <c r="I13" s="54" t="s">
        <v>2257</v>
      </c>
      <c r="J13" s="54" t="s">
        <v>2258</v>
      </c>
    </row>
    <row r="14" spans="1:10" ht="47.1" thickBot="1">
      <c r="B14" s="2"/>
      <c r="C14" s="2"/>
      <c r="D14" s="2"/>
      <c r="E14" s="2"/>
      <c r="F14" s="54" t="s">
        <v>2259</v>
      </c>
      <c r="G14" s="54" t="s">
        <v>2260</v>
      </c>
      <c r="H14" s="54" t="s">
        <v>2261</v>
      </c>
      <c r="I14" s="54" t="s">
        <v>2262</v>
      </c>
      <c r="J14" s="54" t="s">
        <v>2263</v>
      </c>
    </row>
    <row r="15" spans="1:10" ht="15.6">
      <c r="A15" s="1"/>
      <c r="B15" s="2"/>
      <c r="C15" s="2"/>
      <c r="D15" s="2"/>
      <c r="F15" s="48"/>
      <c r="G15" s="48"/>
    </row>
    <row r="16" spans="1:10" ht="15.95" thickBot="1">
      <c r="B16" s="2"/>
      <c r="C16" s="2"/>
      <c r="D16" s="2"/>
      <c r="E16" s="1"/>
      <c r="F16" s="48"/>
      <c r="G16" s="48"/>
    </row>
    <row r="17" spans="1:7" ht="15.95" thickBot="1">
      <c r="A17" s="1"/>
      <c r="B17" s="2"/>
      <c r="C17" s="2"/>
      <c r="D17" s="6" t="s">
        <v>2264</v>
      </c>
      <c r="E17" s="7" t="s">
        <v>2265</v>
      </c>
      <c r="F17" s="53" t="s">
        <v>143</v>
      </c>
      <c r="G17" s="58" t="s">
        <v>2266</v>
      </c>
    </row>
    <row r="18" spans="1:7" ht="15.95" thickBot="1">
      <c r="D18" s="9"/>
      <c r="E18" s="10" t="s">
        <v>1726</v>
      </c>
      <c r="F18" s="59" t="s">
        <v>2267</v>
      </c>
      <c r="G18" s="60">
        <v>1</v>
      </c>
    </row>
    <row r="19" spans="1:7" ht="15.95" thickBot="1">
      <c r="D19" s="9"/>
      <c r="E19" s="10" t="s">
        <v>1726</v>
      </c>
      <c r="F19" s="59" t="s">
        <v>2268</v>
      </c>
      <c r="G19" s="61" t="s">
        <v>1047</v>
      </c>
    </row>
    <row r="20" spans="1:7" ht="15.95" thickBot="1">
      <c r="D20" s="9"/>
      <c r="E20" s="10" t="s">
        <v>439</v>
      </c>
      <c r="F20" s="59" t="s">
        <v>2269</v>
      </c>
      <c r="G20" s="60">
        <v>1</v>
      </c>
    </row>
    <row r="21" spans="1:7" ht="15.95" thickBot="1">
      <c r="D21" s="9"/>
      <c r="E21" s="10" t="s">
        <v>439</v>
      </c>
      <c r="F21" s="59" t="s">
        <v>1648</v>
      </c>
      <c r="G21" s="61" t="s">
        <v>1060</v>
      </c>
    </row>
    <row r="22" spans="1:7" ht="15.95" thickBot="1">
      <c r="D22" s="9"/>
      <c r="E22" s="10" t="s">
        <v>1683</v>
      </c>
      <c r="F22" s="59" t="s">
        <v>2270</v>
      </c>
      <c r="G22" s="61" t="s">
        <v>1074</v>
      </c>
    </row>
    <row r="23" spans="1:7" ht="15.95" thickBot="1">
      <c r="D23" s="9"/>
      <c r="E23" s="10" t="s">
        <v>1654</v>
      </c>
      <c r="F23" s="59" t="s">
        <v>2271</v>
      </c>
      <c r="G23" s="60">
        <v>1</v>
      </c>
    </row>
    <row r="24" spans="1:7" ht="15.95" thickBot="1">
      <c r="D24" s="9"/>
      <c r="E24" s="10" t="s">
        <v>1654</v>
      </c>
      <c r="F24" s="59" t="s">
        <v>2272</v>
      </c>
      <c r="G24" s="60">
        <v>1</v>
      </c>
    </row>
    <row r="25" spans="1:7" ht="15.95" thickBot="1">
      <c r="D25" s="9"/>
      <c r="E25" s="10" t="s">
        <v>2273</v>
      </c>
      <c r="F25" s="59" t="s">
        <v>2274</v>
      </c>
      <c r="G25" s="60">
        <v>1</v>
      </c>
    </row>
    <row r="26" spans="1:7" ht="15.95" thickBot="1">
      <c r="D26" s="9"/>
      <c r="E26" s="10" t="s">
        <v>2275</v>
      </c>
      <c r="F26" s="59" t="s">
        <v>2276</v>
      </c>
      <c r="G26" s="61" t="s">
        <v>1060</v>
      </c>
    </row>
    <row r="27" spans="1:7" ht="15.95" thickBot="1">
      <c r="D27" s="9"/>
      <c r="E27" s="10" t="s">
        <v>2277</v>
      </c>
      <c r="F27" s="59" t="s">
        <v>2278</v>
      </c>
      <c r="G27" s="61" t="s">
        <v>2279</v>
      </c>
    </row>
    <row r="28" spans="1:7" ht="15.6">
      <c r="E28" s="2"/>
      <c r="F28" s="48"/>
      <c r="G28" s="48"/>
    </row>
    <row r="29" spans="1:7" ht="15.6">
      <c r="E29" s="1"/>
      <c r="F29" s="48"/>
      <c r="G29" s="48"/>
    </row>
    <row r="30" spans="1:7" ht="15.6">
      <c r="F30" s="48"/>
      <c r="G30" s="48"/>
    </row>
    <row r="31" spans="1:7" ht="15.95" thickBot="1">
      <c r="A31" s="2"/>
      <c r="B31" s="2"/>
      <c r="C31" s="2"/>
      <c r="D31" s="2"/>
      <c r="E31" s="1"/>
      <c r="F31" s="48"/>
      <c r="G31" s="48"/>
    </row>
    <row r="32" spans="1:7" ht="15.95" thickBot="1">
      <c r="A32" s="1"/>
      <c r="B32" s="2"/>
      <c r="C32" s="2"/>
      <c r="D32" s="11" t="s">
        <v>2280</v>
      </c>
      <c r="E32" s="12" t="s">
        <v>2281</v>
      </c>
      <c r="F32" s="62" t="s">
        <v>2282</v>
      </c>
      <c r="G32" s="62" t="s">
        <v>2283</v>
      </c>
    </row>
    <row r="33" spans="4:10" ht="31.5" thickBot="1">
      <c r="D33" s="13"/>
      <c r="E33" s="14" t="s">
        <v>1984</v>
      </c>
      <c r="F33" s="63" t="s">
        <v>1012</v>
      </c>
      <c r="G33" s="63" t="s">
        <v>2284</v>
      </c>
    </row>
    <row r="34" spans="4:10" ht="31.5" thickBot="1">
      <c r="D34" s="13"/>
      <c r="E34" s="14" t="s">
        <v>1986</v>
      </c>
      <c r="F34" s="63" t="s">
        <v>1012</v>
      </c>
      <c r="G34" s="63" t="s">
        <v>2285</v>
      </c>
    </row>
    <row r="35" spans="4:10" ht="31.5" thickBot="1">
      <c r="D35" s="13"/>
      <c r="E35" s="14" t="s">
        <v>1988</v>
      </c>
      <c r="F35" s="63" t="s">
        <v>1012</v>
      </c>
      <c r="G35" s="63" t="s">
        <v>2286</v>
      </c>
    </row>
    <row r="36" spans="4:10" ht="31.5" thickBot="1">
      <c r="D36" s="13"/>
      <c r="E36" s="14" t="s">
        <v>2287</v>
      </c>
      <c r="F36" s="63" t="s">
        <v>1012</v>
      </c>
      <c r="G36" s="63" t="s">
        <v>2288</v>
      </c>
    </row>
    <row r="37" spans="4:10" ht="15.95" thickBot="1">
      <c r="D37" s="13"/>
      <c r="E37" s="14" t="s">
        <v>2289</v>
      </c>
      <c r="F37" s="63" t="s">
        <v>2290</v>
      </c>
      <c r="G37" s="63" t="s">
        <v>2291</v>
      </c>
    </row>
    <row r="38" spans="4:10" ht="31.5" thickBot="1">
      <c r="D38" s="13"/>
      <c r="E38" s="14" t="s">
        <v>2292</v>
      </c>
      <c r="F38" s="63" t="s">
        <v>2290</v>
      </c>
      <c r="G38" s="63" t="s">
        <v>2293</v>
      </c>
    </row>
    <row r="39" spans="4:10" ht="31.5" thickBot="1">
      <c r="D39" s="13"/>
      <c r="E39" s="14" t="s">
        <v>2294</v>
      </c>
      <c r="F39" s="63" t="s">
        <v>1012</v>
      </c>
      <c r="G39" s="63" t="s">
        <v>2295</v>
      </c>
    </row>
    <row r="40" spans="4:10" ht="31.5" thickBot="1">
      <c r="D40" s="13"/>
      <c r="E40" s="14" t="s">
        <v>2296</v>
      </c>
      <c r="F40" s="63" t="s">
        <v>1012</v>
      </c>
      <c r="G40" s="63" t="s">
        <v>2297</v>
      </c>
    </row>
    <row r="41" spans="4:10" ht="15.95" thickBot="1">
      <c r="D41" s="13"/>
      <c r="E41" s="13"/>
      <c r="F41" s="64"/>
      <c r="G41" s="64"/>
    </row>
    <row r="42" spans="4:10" ht="15.95" thickBot="1">
      <c r="D42" s="3" t="s">
        <v>2298</v>
      </c>
      <c r="E42" s="3" t="s">
        <v>2194</v>
      </c>
      <c r="F42" s="65" t="s">
        <v>1626</v>
      </c>
      <c r="G42" s="65" t="s">
        <v>2195</v>
      </c>
      <c r="H42" s="65" t="s">
        <v>2196</v>
      </c>
      <c r="I42" s="65" t="s">
        <v>2299</v>
      </c>
      <c r="J42" s="65" t="s">
        <v>2198</v>
      </c>
    </row>
    <row r="43" spans="4:10" ht="47.1" thickBot="1">
      <c r="D43" s="2"/>
      <c r="E43" s="1" t="s">
        <v>2300</v>
      </c>
      <c r="F43" s="54" t="s">
        <v>2301</v>
      </c>
      <c r="G43" s="54" t="s">
        <v>2302</v>
      </c>
      <c r="H43" s="54" t="s">
        <v>2303</v>
      </c>
      <c r="I43" s="54" t="s">
        <v>2304</v>
      </c>
      <c r="J43" s="54" t="s">
        <v>2305</v>
      </c>
    </row>
    <row r="44" spans="4:10" ht="47.1" thickBot="1">
      <c r="D44" s="2"/>
      <c r="F44" s="54" t="s">
        <v>2306</v>
      </c>
      <c r="G44" s="54" t="s">
        <v>2307</v>
      </c>
      <c r="H44" s="54" t="s">
        <v>2308</v>
      </c>
      <c r="I44" s="54" t="s">
        <v>2309</v>
      </c>
      <c r="J44" s="54" t="s">
        <v>2310</v>
      </c>
    </row>
    <row r="45" spans="4:10" ht="47.1" thickBot="1">
      <c r="D45" s="2"/>
      <c r="E45" s="1"/>
      <c r="F45" s="54" t="s">
        <v>2311</v>
      </c>
      <c r="G45" s="54" t="s">
        <v>2312</v>
      </c>
      <c r="H45" s="54" t="s">
        <v>2313</v>
      </c>
      <c r="I45" s="54" t="s">
        <v>2314</v>
      </c>
      <c r="J45" s="54" t="s">
        <v>2315</v>
      </c>
    </row>
    <row r="46" spans="4:10" ht="31.5" thickBot="1">
      <c r="D46" s="2"/>
      <c r="F46" s="54" t="s">
        <v>2316</v>
      </c>
      <c r="G46" s="54" t="s">
        <v>2317</v>
      </c>
      <c r="H46" s="54" t="s">
        <v>2318</v>
      </c>
      <c r="I46" s="54" t="s">
        <v>2319</v>
      </c>
      <c r="J46" s="54" t="s">
        <v>2320</v>
      </c>
    </row>
    <row r="47" spans="4:10" ht="31.5" thickBot="1">
      <c r="D47" s="2"/>
      <c r="F47" s="54" t="s">
        <v>2321</v>
      </c>
      <c r="G47" s="54" t="s">
        <v>2322</v>
      </c>
      <c r="H47" s="54" t="s">
        <v>2323</v>
      </c>
      <c r="I47" s="54" t="s">
        <v>2324</v>
      </c>
      <c r="J47" s="54" t="s">
        <v>2325</v>
      </c>
    </row>
    <row r="48" spans="4:10" ht="47.1" thickBot="1">
      <c r="D48" s="2"/>
      <c r="F48" s="54" t="s">
        <v>2326</v>
      </c>
      <c r="G48" s="54" t="s">
        <v>2327</v>
      </c>
      <c r="H48" s="54" t="s">
        <v>2328</v>
      </c>
      <c r="I48" s="54" t="s">
        <v>2329</v>
      </c>
      <c r="J48" s="54" t="s">
        <v>2330</v>
      </c>
    </row>
    <row r="49" spans="1:10" ht="47.1" thickBot="1">
      <c r="D49" s="2"/>
      <c r="F49" s="54" t="s">
        <v>2331</v>
      </c>
      <c r="G49" s="54" t="s">
        <v>2332</v>
      </c>
      <c r="H49" s="54" t="s">
        <v>2333</v>
      </c>
      <c r="I49" s="54" t="s">
        <v>2334</v>
      </c>
      <c r="J49" s="54" t="s">
        <v>2335</v>
      </c>
    </row>
    <row r="50" spans="1:10" ht="47.1" thickBot="1">
      <c r="D50" s="2"/>
      <c r="F50" s="54" t="s">
        <v>1733</v>
      </c>
      <c r="G50" s="54" t="s">
        <v>2336</v>
      </c>
      <c r="H50" s="54" t="s">
        <v>2337</v>
      </c>
      <c r="I50" s="54" t="s">
        <v>2338</v>
      </c>
      <c r="J50" s="54" t="s">
        <v>2339</v>
      </c>
    </row>
    <row r="51" spans="1:10" ht="31.5" thickBot="1">
      <c r="D51" s="2"/>
      <c r="F51" s="54" t="s">
        <v>2340</v>
      </c>
      <c r="G51" s="54" t="s">
        <v>2341</v>
      </c>
      <c r="H51" s="54" t="s">
        <v>2342</v>
      </c>
      <c r="I51" s="54" t="s">
        <v>2343</v>
      </c>
      <c r="J51" s="54" t="s">
        <v>2344</v>
      </c>
    </row>
    <row r="52" spans="1:10" ht="31.5" thickBot="1">
      <c r="D52" s="2"/>
      <c r="F52" s="54" t="s">
        <v>2345</v>
      </c>
      <c r="G52" s="54" t="s">
        <v>2346</v>
      </c>
      <c r="H52" s="54" t="s">
        <v>2347</v>
      </c>
      <c r="I52" s="54" t="s">
        <v>2348</v>
      </c>
      <c r="J52" s="54" t="s">
        <v>1627</v>
      </c>
    </row>
    <row r="53" spans="1:10" ht="15.95" thickBot="1">
      <c r="D53" s="2"/>
    </row>
    <row r="54" spans="1:10" ht="15.95" thickBot="1">
      <c r="D54" s="3" t="s">
        <v>2349</v>
      </c>
      <c r="E54" s="4" t="s">
        <v>143</v>
      </c>
      <c r="F54" s="66" t="s">
        <v>2266</v>
      </c>
    </row>
    <row r="55" spans="1:10" ht="15.95" thickBot="1">
      <c r="D55" s="2"/>
      <c r="E55" s="5" t="s">
        <v>2350</v>
      </c>
      <c r="F55" s="67" t="s">
        <v>1060</v>
      </c>
    </row>
    <row r="56" spans="1:10" ht="15.95" thickBot="1">
      <c r="E56" s="5" t="s">
        <v>2351</v>
      </c>
      <c r="F56" s="68">
        <v>1</v>
      </c>
    </row>
    <row r="57" spans="1:10" ht="15.95" thickBot="1">
      <c r="E57" s="5" t="s">
        <v>2352</v>
      </c>
      <c r="F57" s="68">
        <v>1</v>
      </c>
      <c r="G57" s="48"/>
      <c r="H57" s="48"/>
      <c r="I57" s="48"/>
    </row>
    <row r="58" spans="1:10" ht="15.95" thickBot="1">
      <c r="E58" s="5" t="s">
        <v>2353</v>
      </c>
      <c r="F58" s="67" t="s">
        <v>1060</v>
      </c>
      <c r="G58" s="48"/>
      <c r="H58" s="48"/>
      <c r="I58" s="48"/>
    </row>
    <row r="59" spans="1:10" ht="15.95" thickBot="1">
      <c r="A59" s="2"/>
      <c r="B59" s="2"/>
      <c r="C59" s="2"/>
      <c r="E59" s="5" t="s">
        <v>2354</v>
      </c>
      <c r="F59" s="68">
        <v>1</v>
      </c>
      <c r="G59" s="48"/>
      <c r="H59" s="48"/>
      <c r="I59" s="48"/>
    </row>
    <row r="60" spans="1:10" ht="15.95" thickBot="1">
      <c r="A60" s="1"/>
      <c r="B60" s="2"/>
      <c r="C60" s="2"/>
      <c r="E60" s="5" t="s">
        <v>2355</v>
      </c>
      <c r="F60" s="67" t="s">
        <v>1060</v>
      </c>
      <c r="G60" s="48"/>
      <c r="H60" s="48"/>
      <c r="I60" s="48"/>
    </row>
    <row r="61" spans="1:10" ht="15.95" thickBot="1">
      <c r="B61" s="2"/>
      <c r="C61" s="2"/>
      <c r="E61" s="5" t="s">
        <v>2356</v>
      </c>
      <c r="F61" s="67" t="s">
        <v>1060</v>
      </c>
      <c r="G61" s="48"/>
      <c r="H61" s="48"/>
      <c r="I61" s="48"/>
    </row>
    <row r="62" spans="1:10" ht="15.95" thickBot="1">
      <c r="A62" s="1"/>
      <c r="B62" s="2"/>
      <c r="C62" s="2"/>
      <c r="E62" s="5" t="s">
        <v>2357</v>
      </c>
      <c r="F62" s="68">
        <v>1</v>
      </c>
      <c r="G62" s="48"/>
      <c r="H62" s="48"/>
      <c r="I62" s="48"/>
    </row>
    <row r="63" spans="1:10" ht="15.95" thickBot="1">
      <c r="E63" s="5" t="s">
        <v>2358</v>
      </c>
      <c r="F63" s="67" t="s">
        <v>1074</v>
      </c>
      <c r="G63" s="48"/>
      <c r="H63" s="48"/>
      <c r="I63" s="48"/>
    </row>
    <row r="64" spans="1:10" ht="15.95" thickBot="1">
      <c r="E64" s="5" t="s">
        <v>2359</v>
      </c>
      <c r="F64" s="67" t="s">
        <v>1060</v>
      </c>
      <c r="G64" s="48"/>
      <c r="H64" s="48"/>
      <c r="I64" s="48"/>
    </row>
    <row r="65" spans="4:9" ht="15.95" thickBot="1">
      <c r="G65" s="48"/>
      <c r="H65" s="48"/>
      <c r="I65" s="48"/>
    </row>
    <row r="66" spans="4:9" ht="15.95" thickBot="1">
      <c r="D66" s="3" t="s">
        <v>2360</v>
      </c>
      <c r="E66" s="4" t="s">
        <v>2281</v>
      </c>
      <c r="F66" s="65" t="s">
        <v>2282</v>
      </c>
      <c r="G66" s="65" t="s">
        <v>2283</v>
      </c>
      <c r="H66" s="48"/>
      <c r="I66" s="48"/>
    </row>
    <row r="67" spans="4:9" ht="31.5" thickBot="1">
      <c r="E67" s="5" t="s">
        <v>2361</v>
      </c>
      <c r="F67" s="54" t="s">
        <v>1012</v>
      </c>
      <c r="G67" s="54" t="s">
        <v>2362</v>
      </c>
      <c r="H67" s="48"/>
      <c r="I67" s="48"/>
    </row>
    <row r="68" spans="4:9" ht="31.5" thickBot="1">
      <c r="E68" s="5" t="s">
        <v>2363</v>
      </c>
      <c r="F68" s="54" t="s">
        <v>1012</v>
      </c>
      <c r="G68" s="54" t="s">
        <v>2364</v>
      </c>
      <c r="H68" s="48"/>
      <c r="I68" s="48"/>
    </row>
    <row r="69" spans="4:9" ht="31.5" thickBot="1">
      <c r="E69" s="5" t="s">
        <v>2365</v>
      </c>
      <c r="F69" s="54" t="s">
        <v>2290</v>
      </c>
      <c r="G69" s="54" t="s">
        <v>2366</v>
      </c>
      <c r="H69" s="48"/>
      <c r="I69" s="48"/>
    </row>
    <row r="70" spans="4:9" ht="31.5" thickBot="1">
      <c r="E70" s="5" t="s">
        <v>2367</v>
      </c>
      <c r="F70" s="54" t="s">
        <v>1012</v>
      </c>
      <c r="G70" s="54" t="s">
        <v>2368</v>
      </c>
      <c r="H70" s="48"/>
      <c r="I70" s="48"/>
    </row>
    <row r="71" spans="4:9" ht="31.5" thickBot="1">
      <c r="E71" s="5" t="s">
        <v>2369</v>
      </c>
      <c r="F71" s="54" t="s">
        <v>1012</v>
      </c>
      <c r="G71" s="54" t="s">
        <v>2370</v>
      </c>
      <c r="H71" s="48"/>
      <c r="I71" s="48"/>
    </row>
    <row r="72" spans="4:9" ht="15.95" thickBot="1">
      <c r="E72" s="5" t="s">
        <v>2371</v>
      </c>
      <c r="F72" s="54" t="s">
        <v>2290</v>
      </c>
      <c r="G72" s="54" t="s">
        <v>2372</v>
      </c>
      <c r="H72" s="48"/>
      <c r="I72" s="48"/>
    </row>
    <row r="73" spans="4:9" ht="15.95" thickBot="1">
      <c r="E73" s="5" t="s">
        <v>2373</v>
      </c>
      <c r="F73" s="54" t="s">
        <v>2290</v>
      </c>
      <c r="G73" s="54" t="s">
        <v>2374</v>
      </c>
      <c r="H73" s="48"/>
      <c r="I73" s="48"/>
    </row>
    <row r="74" spans="4:9" ht="15.95" thickBot="1">
      <c r="E74" s="5" t="s">
        <v>2375</v>
      </c>
      <c r="F74" s="54" t="s">
        <v>2290</v>
      </c>
      <c r="G74" s="54" t="s">
        <v>2376</v>
      </c>
      <c r="H74" s="48"/>
      <c r="I74" s="48"/>
    </row>
    <row r="75" spans="4:9" ht="15.6">
      <c r="E75" s="1"/>
      <c r="F75" s="48"/>
      <c r="G75" s="48"/>
      <c r="H75" s="48"/>
      <c r="I75" s="48"/>
    </row>
    <row r="76" spans="4:9" ht="15.95" thickBot="1">
      <c r="D76" s="3" t="s">
        <v>2377</v>
      </c>
      <c r="E76" s="1" t="s">
        <v>2378</v>
      </c>
      <c r="H76" s="48"/>
      <c r="I76" s="48"/>
    </row>
    <row r="77" spans="4:9" ht="15.95" thickBot="1">
      <c r="E77" s="4" t="s">
        <v>2379</v>
      </c>
      <c r="F77" s="66" t="s">
        <v>2266</v>
      </c>
      <c r="H77" s="48"/>
      <c r="I77" s="48"/>
    </row>
    <row r="78" spans="4:9" ht="15.95" thickBot="1">
      <c r="E78" s="5" t="s">
        <v>2380</v>
      </c>
      <c r="F78" s="67" t="s">
        <v>2381</v>
      </c>
      <c r="H78" s="48"/>
      <c r="I78" s="48"/>
    </row>
    <row r="79" spans="4:9" ht="15.95" thickBot="1">
      <c r="E79" s="5" t="s">
        <v>2382</v>
      </c>
      <c r="F79" s="67" t="s">
        <v>2381</v>
      </c>
      <c r="H79" s="48"/>
      <c r="I79" s="48"/>
    </row>
    <row r="80" spans="4:9" ht="15.95" thickBot="1">
      <c r="E80" s="5" t="s">
        <v>2383</v>
      </c>
      <c r="F80" s="67" t="s">
        <v>2381</v>
      </c>
      <c r="H80" s="48"/>
      <c r="I80" s="48"/>
    </row>
    <row r="81" spans="4:9" ht="15.95" thickBot="1">
      <c r="E81" s="5" t="s">
        <v>2384</v>
      </c>
      <c r="F81" s="67" t="s">
        <v>2381</v>
      </c>
      <c r="H81" s="48"/>
      <c r="I81" s="48"/>
    </row>
    <row r="82" spans="4:9" ht="15.95" thickBot="1">
      <c r="E82" s="5" t="s">
        <v>2385</v>
      </c>
      <c r="F82" s="67" t="s">
        <v>2381</v>
      </c>
      <c r="H82" s="48"/>
      <c r="I82" s="48"/>
    </row>
    <row r="83" spans="4:9" ht="15.95" thickBot="1">
      <c r="E83" s="5" t="s">
        <v>2386</v>
      </c>
      <c r="F83" s="67" t="s">
        <v>2381</v>
      </c>
      <c r="H83" s="48"/>
      <c r="I83" s="48"/>
    </row>
    <row r="84" spans="4:9" ht="15.95" thickBot="1">
      <c r="E84" s="5" t="s">
        <v>2387</v>
      </c>
      <c r="F84" s="68">
        <v>1</v>
      </c>
      <c r="H84" s="48"/>
      <c r="I84" s="48"/>
    </row>
    <row r="85" spans="4:9" ht="15.95" thickBot="1">
      <c r="E85" s="5" t="s">
        <v>2388</v>
      </c>
      <c r="F85" s="67" t="s">
        <v>2381</v>
      </c>
      <c r="G85" s="48"/>
      <c r="H85" s="48"/>
      <c r="I85" s="48"/>
    </row>
    <row r="86" spans="4:9" ht="15.95" thickBot="1">
      <c r="E86" s="5" t="s">
        <v>2389</v>
      </c>
      <c r="F86" s="67" t="s">
        <v>2381</v>
      </c>
      <c r="G86" s="48"/>
      <c r="H86" s="48"/>
      <c r="I86" s="48"/>
    </row>
    <row r="87" spans="4:9" ht="15.95" thickBot="1">
      <c r="E87" s="5" t="s">
        <v>2390</v>
      </c>
      <c r="F87" s="67" t="s">
        <v>2381</v>
      </c>
      <c r="G87" s="48"/>
      <c r="H87" s="48"/>
      <c r="I87" s="48"/>
    </row>
    <row r="88" spans="4:9" ht="15.95" thickBot="1">
      <c r="E88" s="5" t="s">
        <v>2391</v>
      </c>
      <c r="F88" s="67" t="s">
        <v>2381</v>
      </c>
      <c r="G88" s="48"/>
      <c r="H88" s="48"/>
      <c r="I88" s="48"/>
    </row>
    <row r="89" spans="4:9" ht="15.6">
      <c r="F89" s="48"/>
      <c r="G89" s="48"/>
      <c r="H89" s="48"/>
      <c r="I89" s="48"/>
    </row>
    <row r="90" spans="4:9" ht="15.6">
      <c r="D90" s="3" t="s">
        <v>2392</v>
      </c>
      <c r="E90" s="17" t="s">
        <v>2393</v>
      </c>
      <c r="F90" s="48"/>
      <c r="G90" s="48"/>
      <c r="H90" s="48"/>
      <c r="I90" s="48"/>
    </row>
    <row r="91" spans="4:9" ht="15.6">
      <c r="E91" s="17" t="s">
        <v>2394</v>
      </c>
      <c r="G91" s="48"/>
      <c r="H91" s="48"/>
      <c r="I91" s="48"/>
    </row>
    <row r="92" spans="4:9" ht="15.6">
      <c r="E92" s="17" t="s">
        <v>2395</v>
      </c>
      <c r="G92" s="48"/>
      <c r="H92" s="48"/>
      <c r="I92" s="48"/>
    </row>
    <row r="93" spans="4:9" ht="15.6">
      <c r="E93" s="17" t="s">
        <v>2396</v>
      </c>
      <c r="G93" s="48"/>
      <c r="H93" s="48"/>
      <c r="I93" s="48"/>
    </row>
    <row r="94" spans="4:9" ht="15.6">
      <c r="E94" s="17" t="s">
        <v>2397</v>
      </c>
      <c r="G94" s="48"/>
      <c r="H94" s="48"/>
      <c r="I94" s="48"/>
    </row>
    <row r="95" spans="4:9" ht="15.6">
      <c r="E95" s="17" t="s">
        <v>2398</v>
      </c>
      <c r="G95" s="48"/>
      <c r="H95" s="48"/>
      <c r="I95" s="48"/>
    </row>
    <row r="96" spans="4:9" ht="15.6">
      <c r="E96" s="17" t="s">
        <v>2399</v>
      </c>
      <c r="G96" s="48"/>
      <c r="H96" s="48"/>
      <c r="I96" s="48"/>
    </row>
    <row r="97" spans="4:10" ht="15.6">
      <c r="E97" s="17" t="s">
        <v>2400</v>
      </c>
      <c r="G97" s="48"/>
      <c r="H97" s="48"/>
      <c r="I97" s="48"/>
    </row>
    <row r="98" spans="4:10" ht="15.6">
      <c r="E98" s="17" t="s">
        <v>2401</v>
      </c>
      <c r="G98" s="48"/>
      <c r="H98" s="48"/>
      <c r="I98" s="48"/>
    </row>
    <row r="99" spans="4:10" ht="108.6">
      <c r="E99" s="17" t="s">
        <v>2402</v>
      </c>
      <c r="G99" s="49" t="s">
        <v>2403</v>
      </c>
      <c r="H99" s="48"/>
      <c r="I99" s="48"/>
    </row>
    <row r="100" spans="4:10" ht="15.6">
      <c r="G100" s="48"/>
      <c r="H100" s="48"/>
      <c r="I100" s="48"/>
    </row>
    <row r="101" spans="4:10" ht="15.95">
      <c r="D101" s="359" t="s">
        <v>2404</v>
      </c>
      <c r="E101" s="359"/>
      <c r="F101" s="359"/>
      <c r="G101" s="359"/>
      <c r="H101" s="359"/>
      <c r="I101" s="359"/>
      <c r="J101" s="359"/>
    </row>
    <row r="102" spans="4:10" ht="15.6">
      <c r="D102" s="95" t="s">
        <v>1992</v>
      </c>
      <c r="E102" s="96" t="s">
        <v>2405</v>
      </c>
      <c r="F102" s="95" t="s">
        <v>2406</v>
      </c>
      <c r="G102" s="97" t="s">
        <v>2407</v>
      </c>
      <c r="H102" s="97" t="s">
        <v>996</v>
      </c>
      <c r="I102" s="97" t="s">
        <v>823</v>
      </c>
      <c r="J102" s="95" t="s">
        <v>537</v>
      </c>
    </row>
    <row r="103" spans="4:10" ht="34.5">
      <c r="D103" s="87" t="s">
        <v>2408</v>
      </c>
      <c r="E103" s="85" t="s">
        <v>2409</v>
      </c>
      <c r="F103" s="98" t="s">
        <v>2410</v>
      </c>
      <c r="G103" s="98" t="s">
        <v>2411</v>
      </c>
      <c r="H103" s="98" t="s">
        <v>2412</v>
      </c>
      <c r="I103" s="98" t="s">
        <v>2413</v>
      </c>
      <c r="J103" s="99" t="s">
        <v>2414</v>
      </c>
    </row>
    <row r="104" spans="4:10" ht="34.5">
      <c r="D104" s="87" t="s">
        <v>2415</v>
      </c>
      <c r="E104" s="85" t="s">
        <v>2416</v>
      </c>
      <c r="F104" s="98" t="s">
        <v>2417</v>
      </c>
      <c r="G104" s="98" t="s">
        <v>2418</v>
      </c>
      <c r="H104" s="98" t="s">
        <v>2419</v>
      </c>
      <c r="I104" s="98" t="s">
        <v>2420</v>
      </c>
      <c r="J104" s="99" t="s">
        <v>2414</v>
      </c>
    </row>
    <row r="105" spans="4:10" ht="23.1">
      <c r="D105" s="87" t="s">
        <v>2421</v>
      </c>
      <c r="E105" s="85" t="s">
        <v>2422</v>
      </c>
      <c r="F105" s="98" t="s">
        <v>2423</v>
      </c>
      <c r="G105" s="98" t="s">
        <v>2424</v>
      </c>
      <c r="H105" s="98" t="s">
        <v>2425</v>
      </c>
      <c r="I105" s="98" t="s">
        <v>2426</v>
      </c>
      <c r="J105" s="99" t="s">
        <v>2414</v>
      </c>
    </row>
    <row r="106" spans="4:10" ht="34.5">
      <c r="D106" s="87" t="s">
        <v>2427</v>
      </c>
      <c r="E106" s="85" t="s">
        <v>2002</v>
      </c>
      <c r="F106" s="98" t="s">
        <v>2428</v>
      </c>
      <c r="G106" s="98" t="s">
        <v>2429</v>
      </c>
      <c r="H106" s="98" t="s">
        <v>2430</v>
      </c>
      <c r="I106" s="98" t="s">
        <v>2431</v>
      </c>
      <c r="J106" s="99" t="s">
        <v>2414</v>
      </c>
    </row>
    <row r="107" spans="4:10" ht="24">
      <c r="D107" s="87" t="s">
        <v>2004</v>
      </c>
      <c r="E107" s="85" t="s">
        <v>2432</v>
      </c>
      <c r="F107" s="98" t="s">
        <v>2433</v>
      </c>
      <c r="G107" s="98" t="s">
        <v>2434</v>
      </c>
      <c r="H107" s="98" t="s">
        <v>2435</v>
      </c>
      <c r="I107" s="98" t="s">
        <v>2436</v>
      </c>
      <c r="J107" s="99" t="s">
        <v>2414</v>
      </c>
    </row>
    <row r="108" spans="4:10" ht="15.6">
      <c r="F108" s="48"/>
      <c r="G108" s="48"/>
      <c r="H108" s="48"/>
      <c r="I108" s="48"/>
    </row>
    <row r="109" spans="4:10">
      <c r="D109" s="328" t="s">
        <v>2437</v>
      </c>
      <c r="E109" s="328"/>
      <c r="F109" s="328"/>
      <c r="G109" s="328"/>
      <c r="H109" s="328"/>
      <c r="I109" s="328"/>
      <c r="J109" s="328"/>
    </row>
    <row r="110" spans="4:10" ht="15.6">
      <c r="D110" s="57" t="s">
        <v>2438</v>
      </c>
      <c r="E110" s="57" t="s">
        <v>2405</v>
      </c>
      <c r="F110" s="48" t="s">
        <v>2406</v>
      </c>
      <c r="G110" s="48" t="s">
        <v>2407</v>
      </c>
      <c r="H110" s="48" t="s">
        <v>917</v>
      </c>
      <c r="I110" s="48" t="s">
        <v>823</v>
      </c>
      <c r="J110" s="57" t="s">
        <v>537</v>
      </c>
    </row>
    <row r="111" spans="4:10" ht="46.5">
      <c r="D111" s="57" t="s">
        <v>2439</v>
      </c>
      <c r="E111" s="57" t="s">
        <v>2440</v>
      </c>
      <c r="F111" s="48" t="s">
        <v>2441</v>
      </c>
      <c r="G111" s="48" t="s">
        <v>2442</v>
      </c>
      <c r="H111" s="48" t="s">
        <v>2443</v>
      </c>
      <c r="I111" s="48" t="s">
        <v>2444</v>
      </c>
      <c r="J111" s="57" t="s">
        <v>2445</v>
      </c>
    </row>
    <row r="112" spans="4:10" ht="15.6">
      <c r="F112" s="48"/>
      <c r="G112" s="48"/>
      <c r="H112" s="48"/>
      <c r="I112" s="48"/>
    </row>
    <row r="113" spans="1:10" ht="15.6" customHeight="1">
      <c r="A113" s="355" t="s">
        <v>2446</v>
      </c>
      <c r="B113" s="358"/>
      <c r="C113" s="358"/>
      <c r="D113" s="358"/>
      <c r="E113" s="358"/>
      <c r="F113" s="358"/>
      <c r="G113" s="358"/>
      <c r="H113" s="358"/>
      <c r="I113" s="358"/>
      <c r="J113" s="358"/>
    </row>
    <row r="114" spans="1:10" ht="29.1">
      <c r="A114" s="285" t="s">
        <v>2008</v>
      </c>
      <c r="B114" s="285" t="s">
        <v>2009</v>
      </c>
      <c r="C114" s="285"/>
      <c r="D114" s="285" t="s">
        <v>2010</v>
      </c>
      <c r="E114" s="285"/>
      <c r="F114" s="286" t="s">
        <v>2011</v>
      </c>
      <c r="G114" s="286"/>
      <c r="H114" s="286" t="s">
        <v>2012</v>
      </c>
      <c r="I114" s="286"/>
      <c r="J114" s="285" t="s">
        <v>2013</v>
      </c>
    </row>
    <row r="115" spans="1:10" ht="203.1">
      <c r="A115" s="262" t="s">
        <v>825</v>
      </c>
      <c r="B115" s="262" t="s">
        <v>2014</v>
      </c>
      <c r="C115" s="262"/>
      <c r="D115" s="262" t="s">
        <v>2015</v>
      </c>
      <c r="E115" s="262"/>
      <c r="F115" s="287" t="s">
        <v>2016</v>
      </c>
      <c r="G115" s="287"/>
      <c r="H115" s="287" t="s">
        <v>2017</v>
      </c>
      <c r="I115" s="287"/>
      <c r="J115" s="262" t="s">
        <v>956</v>
      </c>
    </row>
    <row r="116" spans="1:10" ht="15.6">
      <c r="F116" s="48"/>
      <c r="G116" s="48"/>
      <c r="H116" s="48"/>
      <c r="I116" s="48"/>
    </row>
    <row r="117" spans="1:10" ht="15.6">
      <c r="F117" s="48"/>
      <c r="G117" s="48"/>
      <c r="H117" s="48"/>
      <c r="I117" s="48"/>
    </row>
  </sheetData>
  <mergeCells count="3">
    <mergeCell ref="D101:J101"/>
    <mergeCell ref="D109:J109"/>
    <mergeCell ref="A113:J113"/>
  </mergeCells>
  <pageMargins left="0.7" right="0.7" top="0.75" bottom="0.75" header="0.3" footer="0.3"/>
  <pageSetup orientation="portrait" r:id="rId1"/>
  <headerFooter>
    <oddFooter>&amp;L_x000D_&amp;1#&amp;"Aptos"&amp;10&amp;K000000 Confidential-Internal</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664B9-6036-47A8-81CC-0EB384A986C4}">
  <dimension ref="A1:F64"/>
  <sheetViews>
    <sheetView topLeftCell="A33" workbookViewId="0">
      <selection activeCell="I11" sqref="I11:J11"/>
    </sheetView>
  </sheetViews>
  <sheetFormatPr defaultRowHeight="14.45"/>
  <cols>
    <col min="1" max="1" width="20.85546875" customWidth="1"/>
    <col min="2" max="2" width="12.7109375" customWidth="1"/>
    <col min="3" max="3" width="13.5703125" customWidth="1"/>
    <col min="4" max="4" width="34.5703125" customWidth="1"/>
    <col min="5" max="5" width="36.42578125" customWidth="1"/>
    <col min="6" max="6" width="22.7109375" customWidth="1"/>
  </cols>
  <sheetData>
    <row r="1" spans="1:6" ht="48" customHeight="1">
      <c r="A1" s="329" t="s">
        <v>2447</v>
      </c>
      <c r="B1" s="330"/>
      <c r="C1" s="330"/>
      <c r="D1" s="330"/>
      <c r="E1" s="330"/>
      <c r="F1" s="330"/>
    </row>
    <row r="2" spans="1:6">
      <c r="A2" s="331" t="s">
        <v>2448</v>
      </c>
      <c r="B2" s="330"/>
      <c r="C2" s="330"/>
      <c r="D2" s="330"/>
      <c r="E2" s="330"/>
      <c r="F2" s="330"/>
    </row>
    <row r="3" spans="1:6">
      <c r="A3" s="258"/>
      <c r="B3" s="258"/>
      <c r="C3" s="258"/>
      <c r="D3" s="258"/>
      <c r="E3" s="258"/>
      <c r="F3" s="258"/>
    </row>
    <row r="4" spans="1:6" ht="24" customHeight="1">
      <c r="A4" s="332" t="s">
        <v>2449</v>
      </c>
      <c r="B4" s="332"/>
      <c r="C4" s="332"/>
      <c r="D4" s="332"/>
      <c r="E4" s="332"/>
      <c r="F4" s="332"/>
    </row>
    <row r="5" spans="1:6" ht="24" customHeight="1">
      <c r="A5" s="332"/>
      <c r="B5" s="332"/>
      <c r="C5" s="332"/>
      <c r="D5" s="332"/>
      <c r="E5" s="332"/>
      <c r="F5" s="332"/>
    </row>
    <row r="6" spans="1:6" ht="24" customHeight="1">
      <c r="A6" s="332"/>
      <c r="B6" s="332"/>
      <c r="C6" s="332"/>
      <c r="D6" s="332"/>
      <c r="E6" s="332"/>
      <c r="F6" s="332"/>
    </row>
    <row r="7" spans="1:6">
      <c r="A7" s="258"/>
      <c r="B7" s="258"/>
      <c r="C7" s="258"/>
      <c r="D7" s="258"/>
      <c r="E7" s="258"/>
      <c r="F7" s="258"/>
    </row>
    <row r="8" spans="1:6">
      <c r="A8" s="333" t="s">
        <v>2450</v>
      </c>
      <c r="B8" s="330"/>
      <c r="C8" s="330"/>
      <c r="D8" s="330"/>
      <c r="E8" s="330"/>
      <c r="F8" s="330"/>
    </row>
    <row r="9" spans="1:6">
      <c r="A9" s="258" t="s">
        <v>2451</v>
      </c>
      <c r="B9" s="259">
        <v>0.61111111111111116</v>
      </c>
      <c r="C9" s="258"/>
      <c r="D9" s="258"/>
      <c r="E9" s="258"/>
      <c r="F9" s="258"/>
    </row>
    <row r="10" spans="1:6">
      <c r="A10" s="258" t="s">
        <v>2452</v>
      </c>
      <c r="B10" s="258">
        <f>COUNTIF(B16:B33,"Complete")</f>
        <v>5</v>
      </c>
      <c r="C10" s="258"/>
      <c r="D10" s="258"/>
      <c r="E10" s="258"/>
      <c r="F10" s="258"/>
    </row>
    <row r="11" spans="1:6">
      <c r="A11" s="258" t="s">
        <v>2453</v>
      </c>
      <c r="B11" s="258">
        <f>COUNTIF(B16:B33,"Partial")</f>
        <v>12</v>
      </c>
      <c r="C11" s="258"/>
      <c r="D11" s="258"/>
      <c r="E11" s="258"/>
      <c r="F11" s="258"/>
    </row>
    <row r="12" spans="1:6">
      <c r="A12" s="258" t="s">
        <v>2454</v>
      </c>
      <c r="B12" s="258">
        <f>COUNTIF(B16:B33,"Missing")</f>
        <v>1</v>
      </c>
      <c r="C12" s="258"/>
      <c r="D12" s="258"/>
      <c r="E12" s="258"/>
      <c r="F12" s="258"/>
    </row>
    <row r="13" spans="1:6">
      <c r="A13" s="260" t="s">
        <v>2455</v>
      </c>
      <c r="B13" s="260">
        <f>COUNTIF(C37:C64,"Critical*")</f>
        <v>15</v>
      </c>
      <c r="C13" s="258"/>
      <c r="D13" s="258"/>
      <c r="E13" s="258"/>
      <c r="F13" s="258"/>
    </row>
    <row r="14" spans="1:6">
      <c r="A14" s="258"/>
      <c r="B14" s="258"/>
      <c r="C14" s="258"/>
      <c r="D14" s="258"/>
      <c r="E14" s="258"/>
      <c r="F14" s="258"/>
    </row>
    <row r="15" spans="1:6">
      <c r="A15" s="263" t="s">
        <v>2456</v>
      </c>
      <c r="B15" s="263" t="s">
        <v>537</v>
      </c>
      <c r="C15" s="263" t="s">
        <v>990</v>
      </c>
      <c r="D15" s="263" t="s">
        <v>2457</v>
      </c>
      <c r="E15" s="263" t="s">
        <v>2458</v>
      </c>
      <c r="F15" s="263" t="s">
        <v>2459</v>
      </c>
    </row>
    <row r="16" spans="1:6" ht="29.1">
      <c r="A16" s="264" t="s">
        <v>2460</v>
      </c>
      <c r="B16" s="265" t="s">
        <v>2461</v>
      </c>
      <c r="C16" s="265" t="s">
        <v>2290</v>
      </c>
      <c r="D16" s="264" t="s">
        <v>2462</v>
      </c>
      <c r="E16" s="264" t="s">
        <v>2463</v>
      </c>
      <c r="F16" s="264" t="s">
        <v>2464</v>
      </c>
    </row>
    <row r="17" spans="1:6" ht="29.1">
      <c r="A17" s="266" t="s">
        <v>2465</v>
      </c>
      <c r="B17" s="267" t="s">
        <v>2461</v>
      </c>
      <c r="C17" s="267" t="s">
        <v>1012</v>
      </c>
      <c r="D17" s="266" t="s">
        <v>2466</v>
      </c>
      <c r="E17" s="266" t="s">
        <v>2467</v>
      </c>
      <c r="F17" s="266" t="s">
        <v>2468</v>
      </c>
    </row>
    <row r="18" spans="1:6" ht="29.1">
      <c r="A18" s="264" t="s">
        <v>2469</v>
      </c>
      <c r="B18" s="265" t="s">
        <v>2461</v>
      </c>
      <c r="C18" s="265" t="s">
        <v>1012</v>
      </c>
      <c r="D18" s="264" t="s">
        <v>2470</v>
      </c>
      <c r="E18" s="264" t="s">
        <v>2471</v>
      </c>
      <c r="F18" s="264" t="s">
        <v>2472</v>
      </c>
    </row>
    <row r="19" spans="1:6" ht="29.1">
      <c r="A19" s="266" t="s">
        <v>2473</v>
      </c>
      <c r="B19" s="267" t="s">
        <v>2461</v>
      </c>
      <c r="C19" s="267" t="s">
        <v>1012</v>
      </c>
      <c r="D19" s="266" t="s">
        <v>2474</v>
      </c>
      <c r="E19" s="266" t="s">
        <v>2475</v>
      </c>
      <c r="F19" s="266" t="s">
        <v>2476</v>
      </c>
    </row>
    <row r="20" spans="1:6" ht="29.1">
      <c r="A20" s="264" t="s">
        <v>2477</v>
      </c>
      <c r="B20" s="265" t="s">
        <v>2478</v>
      </c>
      <c r="C20" s="265" t="s">
        <v>2479</v>
      </c>
      <c r="D20" s="264" t="s">
        <v>2480</v>
      </c>
      <c r="E20" s="264" t="s">
        <v>2481</v>
      </c>
      <c r="F20" s="264" t="s">
        <v>2464</v>
      </c>
    </row>
    <row r="21" spans="1:6" ht="43.5">
      <c r="A21" s="266" t="s">
        <v>2482</v>
      </c>
      <c r="B21" s="267" t="s">
        <v>2478</v>
      </c>
      <c r="C21" s="267" t="s">
        <v>2479</v>
      </c>
      <c r="D21" s="266" t="s">
        <v>2483</v>
      </c>
      <c r="E21" s="266" t="s">
        <v>2484</v>
      </c>
      <c r="F21" s="266" t="s">
        <v>2485</v>
      </c>
    </row>
    <row r="22" spans="1:6" ht="29.1">
      <c r="A22" s="264" t="s">
        <v>2486</v>
      </c>
      <c r="B22" s="265" t="s">
        <v>2478</v>
      </c>
      <c r="C22" s="265" t="s">
        <v>2479</v>
      </c>
      <c r="D22" s="264" t="s">
        <v>2487</v>
      </c>
      <c r="E22" s="264" t="s">
        <v>2488</v>
      </c>
      <c r="F22" s="264" t="s">
        <v>2489</v>
      </c>
    </row>
    <row r="23" spans="1:6" ht="29.1">
      <c r="A23" s="266" t="s">
        <v>2490</v>
      </c>
      <c r="B23" s="267" t="s">
        <v>2478</v>
      </c>
      <c r="C23" s="267" t="s">
        <v>1012</v>
      </c>
      <c r="D23" s="266" t="s">
        <v>2491</v>
      </c>
      <c r="E23" s="266" t="s">
        <v>2492</v>
      </c>
      <c r="F23" s="266" t="s">
        <v>2489</v>
      </c>
    </row>
    <row r="24" spans="1:6" ht="29.1">
      <c r="A24" s="264" t="s">
        <v>2493</v>
      </c>
      <c r="B24" s="265" t="s">
        <v>2478</v>
      </c>
      <c r="C24" s="265" t="s">
        <v>2479</v>
      </c>
      <c r="D24" s="264" t="s">
        <v>2494</v>
      </c>
      <c r="E24" s="264" t="s">
        <v>2495</v>
      </c>
      <c r="F24" s="264" t="s">
        <v>2496</v>
      </c>
    </row>
    <row r="25" spans="1:6">
      <c r="A25" s="266" t="s">
        <v>2497</v>
      </c>
      <c r="B25" s="267" t="s">
        <v>2478</v>
      </c>
      <c r="C25" s="267" t="s">
        <v>2479</v>
      </c>
      <c r="D25" s="266" t="s">
        <v>2498</v>
      </c>
      <c r="E25" s="266" t="s">
        <v>2499</v>
      </c>
      <c r="F25" s="266" t="s">
        <v>2476</v>
      </c>
    </row>
    <row r="26" spans="1:6" ht="29.1">
      <c r="A26" s="264" t="s">
        <v>2500</v>
      </c>
      <c r="B26" s="265" t="s">
        <v>2461</v>
      </c>
      <c r="C26" s="265" t="s">
        <v>1012</v>
      </c>
      <c r="D26" s="264" t="s">
        <v>2501</v>
      </c>
      <c r="E26" s="264" t="s">
        <v>2502</v>
      </c>
      <c r="F26" s="264" t="s">
        <v>2503</v>
      </c>
    </row>
    <row r="27" spans="1:6" ht="29.1">
      <c r="A27" s="266" t="s">
        <v>2504</v>
      </c>
      <c r="B27" s="267" t="s">
        <v>2478</v>
      </c>
      <c r="C27" s="267" t="s">
        <v>2479</v>
      </c>
      <c r="D27" s="266" t="s">
        <v>2505</v>
      </c>
      <c r="E27" s="266" t="s">
        <v>2506</v>
      </c>
      <c r="F27" s="266" t="s">
        <v>2507</v>
      </c>
    </row>
    <row r="28" spans="1:6">
      <c r="A28" s="264" t="s">
        <v>2508</v>
      </c>
      <c r="B28" s="265" t="s">
        <v>2478</v>
      </c>
      <c r="C28" s="265" t="s">
        <v>1012</v>
      </c>
      <c r="D28" s="264" t="s">
        <v>2509</v>
      </c>
      <c r="E28" s="264" t="s">
        <v>2510</v>
      </c>
      <c r="F28" s="264" t="s">
        <v>2503</v>
      </c>
    </row>
    <row r="29" spans="1:6" ht="43.5">
      <c r="A29" s="266" t="s">
        <v>2511</v>
      </c>
      <c r="B29" s="267" t="s">
        <v>2478</v>
      </c>
      <c r="C29" s="267" t="s">
        <v>2479</v>
      </c>
      <c r="D29" s="266" t="s">
        <v>2512</v>
      </c>
      <c r="E29" s="266" t="s">
        <v>2513</v>
      </c>
      <c r="F29" s="266" t="s">
        <v>2514</v>
      </c>
    </row>
    <row r="30" spans="1:6" ht="29.1">
      <c r="A30" s="264" t="s">
        <v>2515</v>
      </c>
      <c r="B30" s="265" t="s">
        <v>2516</v>
      </c>
      <c r="C30" s="265" t="s">
        <v>2479</v>
      </c>
      <c r="D30" s="264" t="s">
        <v>2517</v>
      </c>
      <c r="E30" s="264" t="s">
        <v>2518</v>
      </c>
      <c r="F30" s="264" t="s">
        <v>2519</v>
      </c>
    </row>
    <row r="31" spans="1:6">
      <c r="A31" s="266" t="s">
        <v>2520</v>
      </c>
      <c r="B31" s="267" t="s">
        <v>2478</v>
      </c>
      <c r="C31" s="267" t="s">
        <v>1012</v>
      </c>
      <c r="D31" s="266" t="s">
        <v>2521</v>
      </c>
      <c r="E31" s="266" t="s">
        <v>2522</v>
      </c>
      <c r="F31" s="266" t="s">
        <v>2464</v>
      </c>
    </row>
    <row r="32" spans="1:6" ht="29.1">
      <c r="A32" s="264" t="s">
        <v>2523</v>
      </c>
      <c r="B32" s="265" t="s">
        <v>2478</v>
      </c>
      <c r="C32" s="265" t="s">
        <v>2479</v>
      </c>
      <c r="D32" s="264" t="s">
        <v>2524</v>
      </c>
      <c r="E32" s="264" t="s">
        <v>2525</v>
      </c>
      <c r="F32" s="264" t="s">
        <v>2526</v>
      </c>
    </row>
    <row r="33" spans="1:6" ht="29.1">
      <c r="A33" s="266" t="s">
        <v>2527</v>
      </c>
      <c r="B33" s="267" t="s">
        <v>2478</v>
      </c>
      <c r="C33" s="267" t="s">
        <v>1012</v>
      </c>
      <c r="D33" s="266" t="s">
        <v>2528</v>
      </c>
      <c r="E33" s="266" t="s">
        <v>2529</v>
      </c>
      <c r="F33" s="266" t="s">
        <v>2530</v>
      </c>
    </row>
    <row r="34" spans="1:6">
      <c r="A34" s="268"/>
      <c r="B34" s="268"/>
      <c r="C34" s="268"/>
      <c r="D34" s="268"/>
      <c r="E34" s="268"/>
      <c r="F34" s="268"/>
    </row>
    <row r="35" spans="1:6">
      <c r="A35" s="334" t="s">
        <v>2531</v>
      </c>
      <c r="B35" s="335"/>
      <c r="C35" s="335"/>
      <c r="D35" s="335"/>
      <c r="E35" s="335"/>
      <c r="F35" s="335"/>
    </row>
    <row r="36" spans="1:6" ht="43.5">
      <c r="A36" s="269" t="s">
        <v>2532</v>
      </c>
      <c r="B36" s="269" t="s">
        <v>2533</v>
      </c>
      <c r="C36" s="269" t="s">
        <v>2534</v>
      </c>
      <c r="D36" s="269" t="s">
        <v>2535</v>
      </c>
      <c r="E36" s="268"/>
      <c r="F36" s="268"/>
    </row>
    <row r="37" spans="1:6" ht="43.5">
      <c r="A37" s="265" t="s">
        <v>2536</v>
      </c>
      <c r="B37" s="264" t="s">
        <v>2537</v>
      </c>
      <c r="C37" s="264" t="s">
        <v>2538</v>
      </c>
      <c r="D37" s="264" t="s">
        <v>2539</v>
      </c>
      <c r="E37" s="270"/>
      <c r="F37" s="270"/>
    </row>
    <row r="38" spans="1:6" ht="57.95">
      <c r="A38" s="267" t="s">
        <v>2540</v>
      </c>
      <c r="B38" s="266" t="s">
        <v>2541</v>
      </c>
      <c r="C38" s="266" t="s">
        <v>2542</v>
      </c>
      <c r="D38" s="266" t="s">
        <v>2543</v>
      </c>
      <c r="E38" s="271"/>
      <c r="F38" s="271"/>
    </row>
    <row r="39" spans="1:6" ht="57.95">
      <c r="A39" s="265" t="s">
        <v>2544</v>
      </c>
      <c r="B39" s="264" t="s">
        <v>2545</v>
      </c>
      <c r="C39" s="264" t="s">
        <v>2542</v>
      </c>
      <c r="D39" s="264" t="s">
        <v>2546</v>
      </c>
      <c r="E39" s="270"/>
      <c r="F39" s="270"/>
    </row>
    <row r="40" spans="1:6" ht="43.5">
      <c r="A40" s="267" t="s">
        <v>2547</v>
      </c>
      <c r="B40" s="266" t="s">
        <v>2548</v>
      </c>
      <c r="C40" s="266" t="s">
        <v>2549</v>
      </c>
      <c r="D40" s="266" t="s">
        <v>2550</v>
      </c>
      <c r="E40" s="271"/>
      <c r="F40" s="271"/>
    </row>
    <row r="41" spans="1:6" ht="57.95">
      <c r="A41" s="265" t="s">
        <v>2551</v>
      </c>
      <c r="B41" s="264" t="s">
        <v>2552</v>
      </c>
      <c r="C41" s="264" t="s">
        <v>2553</v>
      </c>
      <c r="D41" s="264" t="s">
        <v>2554</v>
      </c>
      <c r="E41" s="270"/>
      <c r="F41" s="270"/>
    </row>
    <row r="42" spans="1:6" ht="57.95">
      <c r="A42" s="267" t="s">
        <v>2555</v>
      </c>
      <c r="B42" s="266" t="s">
        <v>2556</v>
      </c>
      <c r="C42" s="266" t="s">
        <v>2557</v>
      </c>
      <c r="D42" s="266" t="s">
        <v>2558</v>
      </c>
      <c r="E42" s="271"/>
      <c r="F42" s="271"/>
    </row>
    <row r="43" spans="1:6" ht="43.5">
      <c r="A43" s="265" t="s">
        <v>2559</v>
      </c>
      <c r="B43" s="264" t="s">
        <v>2560</v>
      </c>
      <c r="C43" s="264" t="s">
        <v>2549</v>
      </c>
      <c r="D43" s="264" t="s">
        <v>2561</v>
      </c>
      <c r="E43" s="270"/>
      <c r="F43" s="270"/>
    </row>
    <row r="44" spans="1:6" ht="43.5">
      <c r="A44" s="267" t="s">
        <v>2562</v>
      </c>
      <c r="B44" s="266" t="s">
        <v>2563</v>
      </c>
      <c r="C44" s="266" t="s">
        <v>2538</v>
      </c>
      <c r="D44" s="266" t="s">
        <v>2564</v>
      </c>
      <c r="E44" s="271"/>
      <c r="F44" s="271"/>
    </row>
    <row r="45" spans="1:6" ht="57.95">
      <c r="A45" s="265" t="s">
        <v>2565</v>
      </c>
      <c r="B45" s="264" t="s">
        <v>2566</v>
      </c>
      <c r="C45" s="264" t="s">
        <v>2567</v>
      </c>
      <c r="D45" s="264" t="s">
        <v>2568</v>
      </c>
      <c r="E45" s="270"/>
      <c r="F45" s="270"/>
    </row>
    <row r="46" spans="1:6" ht="57.95">
      <c r="A46" s="267" t="s">
        <v>2569</v>
      </c>
      <c r="B46" s="266" t="s">
        <v>2570</v>
      </c>
      <c r="C46" s="266" t="s">
        <v>2542</v>
      </c>
      <c r="D46" s="266" t="s">
        <v>2571</v>
      </c>
      <c r="E46" s="271"/>
      <c r="F46" s="271"/>
    </row>
    <row r="47" spans="1:6" ht="57.95">
      <c r="A47" s="265" t="s">
        <v>2572</v>
      </c>
      <c r="B47" s="264" t="s">
        <v>2573</v>
      </c>
      <c r="C47" s="264" t="s">
        <v>2557</v>
      </c>
      <c r="D47" s="264" t="s">
        <v>2574</v>
      </c>
      <c r="E47" s="270"/>
      <c r="F47" s="270"/>
    </row>
    <row r="48" spans="1:6" ht="57.95">
      <c r="A48" s="267" t="s">
        <v>2575</v>
      </c>
      <c r="B48" s="266" t="s">
        <v>2576</v>
      </c>
      <c r="C48" s="266" t="s">
        <v>2557</v>
      </c>
      <c r="D48" s="266" t="s">
        <v>2577</v>
      </c>
      <c r="E48" s="271"/>
      <c r="F48" s="271"/>
    </row>
    <row r="49" spans="1:6" ht="57.95">
      <c r="A49" s="265" t="s">
        <v>2578</v>
      </c>
      <c r="B49" s="264" t="s">
        <v>2579</v>
      </c>
      <c r="C49" s="264" t="s">
        <v>2553</v>
      </c>
      <c r="D49" s="264" t="s">
        <v>2580</v>
      </c>
      <c r="E49" s="270"/>
      <c r="F49" s="270"/>
    </row>
    <row r="50" spans="1:6" ht="57.95">
      <c r="A50" s="267" t="s">
        <v>2581</v>
      </c>
      <c r="B50" s="266" t="s">
        <v>2582</v>
      </c>
      <c r="C50" s="266" t="s">
        <v>2557</v>
      </c>
      <c r="D50" s="266" t="s">
        <v>2583</v>
      </c>
      <c r="E50" s="271"/>
      <c r="F50" s="271"/>
    </row>
    <row r="51" spans="1:6" ht="57.95">
      <c r="A51" s="265" t="s">
        <v>2584</v>
      </c>
      <c r="B51" s="264" t="s">
        <v>2585</v>
      </c>
      <c r="C51" s="264" t="s">
        <v>2553</v>
      </c>
      <c r="D51" s="264" t="s">
        <v>2586</v>
      </c>
      <c r="E51" s="270"/>
      <c r="F51" s="270"/>
    </row>
    <row r="52" spans="1:6" ht="57.95">
      <c r="A52" s="267" t="s">
        <v>2587</v>
      </c>
      <c r="B52" s="266" t="s">
        <v>2588</v>
      </c>
      <c r="C52" s="266" t="s">
        <v>2557</v>
      </c>
      <c r="D52" s="266" t="s">
        <v>2589</v>
      </c>
      <c r="E52" s="271"/>
      <c r="F52" s="271"/>
    </row>
    <row r="53" spans="1:6" ht="43.5">
      <c r="A53" s="265" t="s">
        <v>2590</v>
      </c>
      <c r="B53" s="264" t="s">
        <v>2591</v>
      </c>
      <c r="C53" s="264" t="s">
        <v>2592</v>
      </c>
      <c r="D53" s="264" t="s">
        <v>2593</v>
      </c>
      <c r="E53" s="270"/>
      <c r="F53" s="270"/>
    </row>
    <row r="54" spans="1:6" ht="43.5">
      <c r="A54" s="267" t="s">
        <v>2594</v>
      </c>
      <c r="B54" s="266" t="s">
        <v>2595</v>
      </c>
      <c r="C54" s="266" t="s">
        <v>2592</v>
      </c>
      <c r="D54" s="266" t="s">
        <v>2596</v>
      </c>
      <c r="E54" s="271"/>
      <c r="F54" s="271"/>
    </row>
    <row r="55" spans="1:6" ht="43.5">
      <c r="A55" s="265" t="s">
        <v>2597</v>
      </c>
      <c r="B55" s="264" t="s">
        <v>2598</v>
      </c>
      <c r="C55" s="264" t="s">
        <v>2592</v>
      </c>
      <c r="D55" s="264" t="s">
        <v>2599</v>
      </c>
      <c r="E55" s="270"/>
      <c r="F55" s="270"/>
    </row>
    <row r="56" spans="1:6" ht="43.5">
      <c r="A56" s="267" t="s">
        <v>2600</v>
      </c>
      <c r="B56" s="266" t="s">
        <v>2601</v>
      </c>
      <c r="C56" s="266" t="s">
        <v>2567</v>
      </c>
      <c r="D56" s="266" t="s">
        <v>2602</v>
      </c>
      <c r="E56" s="271"/>
      <c r="F56" s="271"/>
    </row>
    <row r="57" spans="1:6" ht="43.5">
      <c r="A57" s="265" t="s">
        <v>2603</v>
      </c>
      <c r="B57" s="264" t="s">
        <v>2604</v>
      </c>
      <c r="C57" s="264" t="s">
        <v>2592</v>
      </c>
      <c r="D57" s="264" t="s">
        <v>2605</v>
      </c>
      <c r="E57" s="270"/>
      <c r="F57" s="270"/>
    </row>
    <row r="58" spans="1:6" ht="43.5">
      <c r="A58" s="267" t="s">
        <v>2606</v>
      </c>
      <c r="B58" s="266" t="s">
        <v>2607</v>
      </c>
      <c r="C58" s="266" t="s">
        <v>2592</v>
      </c>
      <c r="D58" s="266" t="s">
        <v>2608</v>
      </c>
      <c r="E58" s="271"/>
      <c r="F58" s="271"/>
    </row>
    <row r="59" spans="1:6" ht="57.95">
      <c r="A59" s="265" t="s">
        <v>2609</v>
      </c>
      <c r="B59" s="264" t="s">
        <v>2610</v>
      </c>
      <c r="C59" s="264" t="s">
        <v>2553</v>
      </c>
      <c r="D59" s="264" t="s">
        <v>2611</v>
      </c>
      <c r="E59" s="270"/>
      <c r="F59" s="270"/>
    </row>
    <row r="60" spans="1:6" ht="57.95">
      <c r="A60" s="267" t="s">
        <v>2612</v>
      </c>
      <c r="B60" s="266" t="s">
        <v>2613</v>
      </c>
      <c r="C60" s="266" t="s">
        <v>2557</v>
      </c>
      <c r="D60" s="266" t="s">
        <v>2614</v>
      </c>
      <c r="E60" s="271"/>
      <c r="F60" s="271"/>
    </row>
    <row r="61" spans="1:6" ht="57.95">
      <c r="A61" s="265" t="s">
        <v>2615</v>
      </c>
      <c r="B61" s="264" t="s">
        <v>2616</v>
      </c>
      <c r="C61" s="264" t="s">
        <v>2557</v>
      </c>
      <c r="D61" s="264" t="s">
        <v>2617</v>
      </c>
      <c r="E61" s="270"/>
      <c r="F61" s="270"/>
    </row>
    <row r="62" spans="1:6" ht="72.599999999999994">
      <c r="A62" s="267" t="s">
        <v>2618</v>
      </c>
      <c r="B62" s="266" t="s">
        <v>2619</v>
      </c>
      <c r="C62" s="266" t="s">
        <v>2549</v>
      </c>
      <c r="D62" s="266" t="s">
        <v>2620</v>
      </c>
      <c r="E62" s="271"/>
      <c r="F62" s="271"/>
    </row>
    <row r="63" spans="1:6" ht="57.95">
      <c r="A63" s="265" t="s">
        <v>2621</v>
      </c>
      <c r="B63" s="264" t="s">
        <v>2622</v>
      </c>
      <c r="C63" s="264" t="s">
        <v>2553</v>
      </c>
      <c r="D63" s="264" t="s">
        <v>2623</v>
      </c>
      <c r="E63" s="270"/>
      <c r="F63" s="270"/>
    </row>
    <row r="64" spans="1:6" ht="43.5">
      <c r="A64" s="272" t="s">
        <v>2624</v>
      </c>
      <c r="B64" s="273" t="s">
        <v>2625</v>
      </c>
      <c r="C64" s="273" t="s">
        <v>2549</v>
      </c>
      <c r="D64" s="273" t="s">
        <v>2626</v>
      </c>
      <c r="E64" s="274"/>
      <c r="F64" s="274"/>
    </row>
  </sheetData>
  <mergeCells count="5">
    <mergeCell ref="A1:F1"/>
    <mergeCell ref="A2:F2"/>
    <mergeCell ref="A4:F6"/>
    <mergeCell ref="A8:F8"/>
    <mergeCell ref="A35:F35"/>
  </mergeCells>
  <pageMargins left="0.7" right="0.7" top="0.75" bottom="0.75" header="0.3" footer="0.3"/>
  <headerFooter>
    <oddFooter>&amp;L_x000D_&amp;1#&amp;"Aptos"&amp;10&amp;K000000 Confidential-Internal</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CD6A-527D-4EC4-B584-E26D5B7E64A5}">
  <dimension ref="A1:I36"/>
  <sheetViews>
    <sheetView topLeftCell="A9" workbookViewId="0">
      <selection activeCell="I11" sqref="I11:J11"/>
    </sheetView>
  </sheetViews>
  <sheetFormatPr defaultRowHeight="14.45"/>
  <cols>
    <col min="1" max="1" width="8.140625" customWidth="1"/>
    <col min="2" max="2" width="10" customWidth="1"/>
    <col min="3" max="3" width="25.42578125" customWidth="1"/>
    <col min="4" max="4" width="31.85546875" customWidth="1"/>
    <col min="5" max="5" width="17.28515625" customWidth="1"/>
    <col min="6" max="6" width="13.5703125" customWidth="1"/>
    <col min="7" max="7" width="23.5703125" customWidth="1"/>
    <col min="8" max="8" width="11.85546875" customWidth="1"/>
    <col min="9" max="9" width="13.5703125" customWidth="1"/>
  </cols>
  <sheetData>
    <row r="1" spans="1:9" ht="48" customHeight="1">
      <c r="A1" s="360" t="s">
        <v>2627</v>
      </c>
      <c r="B1" s="358"/>
      <c r="C1" s="358"/>
      <c r="D1" s="358"/>
      <c r="E1" s="358"/>
      <c r="F1" s="358"/>
      <c r="G1" s="358"/>
      <c r="H1" s="358"/>
      <c r="I1" s="358"/>
    </row>
    <row r="2" spans="1:9">
      <c r="A2" s="361" t="s">
        <v>2628</v>
      </c>
      <c r="B2" s="358"/>
      <c r="C2" s="358"/>
      <c r="D2" s="358"/>
      <c r="E2" s="358"/>
      <c r="F2" s="358"/>
      <c r="G2" s="358"/>
      <c r="H2" s="358"/>
      <c r="I2" s="358"/>
    </row>
    <row r="4" spans="1:9" ht="24" customHeight="1">
      <c r="A4" s="336" t="s">
        <v>2629</v>
      </c>
      <c r="B4" s="336"/>
      <c r="C4" s="336"/>
      <c r="D4" s="336"/>
      <c r="E4" s="336"/>
      <c r="F4" s="336"/>
      <c r="G4" s="336"/>
      <c r="H4" s="336"/>
      <c r="I4" s="336"/>
    </row>
    <row r="5" spans="1:9" ht="24" customHeight="1">
      <c r="A5" s="336"/>
      <c r="B5" s="336"/>
      <c r="C5" s="336"/>
      <c r="D5" s="336"/>
      <c r="E5" s="336"/>
      <c r="F5" s="336"/>
      <c r="G5" s="336"/>
      <c r="H5" s="336"/>
      <c r="I5" s="336"/>
    </row>
    <row r="6" spans="1:9" ht="24" customHeight="1">
      <c r="A6" s="336"/>
      <c r="B6" s="336"/>
      <c r="C6" s="336"/>
      <c r="D6" s="336"/>
      <c r="E6" s="336"/>
      <c r="F6" s="336"/>
      <c r="G6" s="336"/>
      <c r="H6" s="336"/>
      <c r="I6" s="336"/>
    </row>
    <row r="8" spans="1:9">
      <c r="A8" s="355" t="s">
        <v>2630</v>
      </c>
      <c r="B8" s="358"/>
      <c r="C8" s="358"/>
      <c r="D8" s="358"/>
      <c r="E8" s="358"/>
      <c r="F8" s="358"/>
      <c r="G8" s="358"/>
      <c r="H8" s="358"/>
      <c r="I8" s="358"/>
    </row>
    <row r="9" spans="1:9">
      <c r="A9" t="s">
        <v>2631</v>
      </c>
      <c r="B9">
        <f>COUNTA(A15:A26)</f>
        <v>12</v>
      </c>
    </row>
    <row r="10" spans="1:9">
      <c r="A10" t="s">
        <v>2632</v>
      </c>
      <c r="B10">
        <f>COUNTIF(B15:B26,"Critical")</f>
        <v>7</v>
      </c>
    </row>
    <row r="11" spans="1:9">
      <c r="A11" t="s">
        <v>2633</v>
      </c>
      <c r="B11">
        <f>COUNTIF(B15:B26,"High")</f>
        <v>5</v>
      </c>
    </row>
    <row r="12" spans="1:9">
      <c r="A12" t="s">
        <v>2634</v>
      </c>
      <c r="B12" s="275" t="s">
        <v>2635</v>
      </c>
    </row>
    <row r="14" spans="1:9">
      <c r="A14" s="276" t="s">
        <v>2636</v>
      </c>
      <c r="B14" s="276" t="s">
        <v>990</v>
      </c>
      <c r="C14" s="276" t="s">
        <v>2193</v>
      </c>
      <c r="D14" s="276" t="s">
        <v>2637</v>
      </c>
      <c r="E14" s="276" t="s">
        <v>2638</v>
      </c>
      <c r="F14" s="276" t="s">
        <v>2639</v>
      </c>
      <c r="G14" s="276" t="s">
        <v>2640</v>
      </c>
      <c r="H14" s="276" t="s">
        <v>2641</v>
      </c>
      <c r="I14" s="276" t="s">
        <v>2642</v>
      </c>
    </row>
    <row r="15" spans="1:9" ht="29.1">
      <c r="A15" s="265" t="s">
        <v>2643</v>
      </c>
      <c r="B15" s="277" t="s">
        <v>2479</v>
      </c>
      <c r="C15" s="264" t="s">
        <v>2644</v>
      </c>
      <c r="D15" s="264" t="s">
        <v>2645</v>
      </c>
      <c r="E15" s="264" t="s">
        <v>2646</v>
      </c>
      <c r="F15" s="278">
        <f>DATE(2026,9,15)</f>
        <v>46280</v>
      </c>
      <c r="G15" s="264" t="s">
        <v>2647</v>
      </c>
      <c r="H15" s="265" t="s">
        <v>2648</v>
      </c>
      <c r="I15" s="265" t="str">
        <f t="shared" ref="I15:I26" ca="1" si="0">IF(OR(G15="Closed",G15="Complete"),"Closed",IF(F15&lt;TODAY(),"Overdue",IF(F15-TODAY()&lt;=3,"Due ≤3d","On track")))</f>
        <v>Overdue</v>
      </c>
    </row>
    <row r="16" spans="1:9" ht="29.1">
      <c r="A16" s="267" t="s">
        <v>2649</v>
      </c>
      <c r="B16" s="279" t="s">
        <v>2479</v>
      </c>
      <c r="C16" s="266" t="s">
        <v>2650</v>
      </c>
      <c r="D16" s="266" t="s">
        <v>2651</v>
      </c>
      <c r="E16" s="266" t="s">
        <v>2652</v>
      </c>
      <c r="F16" s="280">
        <f>DATE(2026,9,18)</f>
        <v>46283</v>
      </c>
      <c r="G16" s="266" t="s">
        <v>2653</v>
      </c>
      <c r="H16" s="267" t="s">
        <v>2643</v>
      </c>
      <c r="I16" s="267" t="str">
        <f t="shared" ca="1" si="0"/>
        <v>Overdue</v>
      </c>
    </row>
    <row r="17" spans="1:9" ht="29.1">
      <c r="A17" s="265" t="s">
        <v>2654</v>
      </c>
      <c r="B17" s="277" t="s">
        <v>2479</v>
      </c>
      <c r="C17" s="264" t="s">
        <v>2655</v>
      </c>
      <c r="D17" s="264" t="s">
        <v>2656</v>
      </c>
      <c r="E17" s="264" t="s">
        <v>2657</v>
      </c>
      <c r="F17" s="278">
        <f>DATE(2026,9,18)</f>
        <v>46283</v>
      </c>
      <c r="G17" s="264" t="s">
        <v>2653</v>
      </c>
      <c r="H17" s="265" t="s">
        <v>2649</v>
      </c>
      <c r="I17" s="265" t="str">
        <f t="shared" ca="1" si="0"/>
        <v>Overdue</v>
      </c>
    </row>
    <row r="18" spans="1:9" ht="29.1">
      <c r="A18" s="267" t="s">
        <v>2658</v>
      </c>
      <c r="B18" s="279" t="s">
        <v>2479</v>
      </c>
      <c r="C18" s="266" t="s">
        <v>2659</v>
      </c>
      <c r="D18" s="266" t="s">
        <v>2660</v>
      </c>
      <c r="E18" s="266" t="s">
        <v>2661</v>
      </c>
      <c r="F18" s="280">
        <f>DATE(2026,9,16)</f>
        <v>46281</v>
      </c>
      <c r="G18" s="266" t="s">
        <v>2662</v>
      </c>
      <c r="H18" s="267" t="s">
        <v>2663</v>
      </c>
      <c r="I18" s="267" t="str">
        <f t="shared" ca="1" si="0"/>
        <v>Overdue</v>
      </c>
    </row>
    <row r="19" spans="1:9" ht="29.1">
      <c r="A19" s="265" t="s">
        <v>2664</v>
      </c>
      <c r="B19" s="277" t="s">
        <v>2479</v>
      </c>
      <c r="C19" s="264" t="s">
        <v>2665</v>
      </c>
      <c r="D19" s="264" t="s">
        <v>2666</v>
      </c>
      <c r="E19" s="264" t="s">
        <v>2667</v>
      </c>
      <c r="F19" s="278">
        <f>DATE(2026,9,22)</f>
        <v>46287</v>
      </c>
      <c r="G19" s="264" t="s">
        <v>2668</v>
      </c>
      <c r="H19" s="265" t="s">
        <v>2649</v>
      </c>
      <c r="I19" s="265" t="str">
        <f t="shared" ca="1" si="0"/>
        <v>Overdue</v>
      </c>
    </row>
    <row r="20" spans="1:9" ht="29.1">
      <c r="A20" s="267" t="s">
        <v>2669</v>
      </c>
      <c r="B20" s="279" t="s">
        <v>2479</v>
      </c>
      <c r="C20" s="266" t="s">
        <v>2670</v>
      </c>
      <c r="D20" s="266" t="s">
        <v>2671</v>
      </c>
      <c r="E20" s="266" t="s">
        <v>2672</v>
      </c>
      <c r="F20" s="280">
        <f>DATE(2026,9,14)</f>
        <v>46279</v>
      </c>
      <c r="G20" s="266" t="s">
        <v>2673</v>
      </c>
      <c r="H20" s="267" t="s">
        <v>2643</v>
      </c>
      <c r="I20" s="267" t="str">
        <f t="shared" ca="1" si="0"/>
        <v>Overdue</v>
      </c>
    </row>
    <row r="21" spans="1:9" ht="29.1">
      <c r="A21" s="265" t="s">
        <v>2674</v>
      </c>
      <c r="B21" s="277" t="s">
        <v>2479</v>
      </c>
      <c r="C21" s="264" t="s">
        <v>2675</v>
      </c>
      <c r="D21" s="264" t="s">
        <v>2676</v>
      </c>
      <c r="E21" s="264" t="s">
        <v>2677</v>
      </c>
      <c r="F21" s="278">
        <f>DATE(2026,9,22)</f>
        <v>46287</v>
      </c>
      <c r="G21" s="264" t="s">
        <v>2678</v>
      </c>
      <c r="H21" s="265" t="s">
        <v>2679</v>
      </c>
      <c r="I21" s="265" t="str">
        <f t="shared" ca="1" si="0"/>
        <v>Overdue</v>
      </c>
    </row>
    <row r="22" spans="1:9" ht="29.1">
      <c r="A22" s="267" t="s">
        <v>2680</v>
      </c>
      <c r="B22" s="281" t="s">
        <v>1012</v>
      </c>
      <c r="C22" s="266" t="s">
        <v>2681</v>
      </c>
      <c r="D22" s="266" t="s">
        <v>2682</v>
      </c>
      <c r="E22" s="266" t="s">
        <v>2683</v>
      </c>
      <c r="F22" s="280">
        <f>DATE(2026,9,25)</f>
        <v>46290</v>
      </c>
      <c r="G22" s="266" t="s">
        <v>2684</v>
      </c>
      <c r="H22" s="267" t="s">
        <v>2664</v>
      </c>
      <c r="I22" s="267" t="str">
        <f t="shared" ca="1" si="0"/>
        <v>Overdue</v>
      </c>
    </row>
    <row r="23" spans="1:9" ht="29.1">
      <c r="A23" s="265" t="s">
        <v>2685</v>
      </c>
      <c r="B23" s="282" t="s">
        <v>1012</v>
      </c>
      <c r="C23" s="264" t="s">
        <v>2686</v>
      </c>
      <c r="D23" s="264" t="s">
        <v>2687</v>
      </c>
      <c r="E23" s="264" t="s">
        <v>2688</v>
      </c>
      <c r="F23" s="278">
        <f>DATE(2026,9,29)</f>
        <v>46294</v>
      </c>
      <c r="G23" s="264" t="s">
        <v>2689</v>
      </c>
      <c r="H23" s="265" t="s">
        <v>2690</v>
      </c>
      <c r="I23" s="265" t="str">
        <f t="shared" ca="1" si="0"/>
        <v>Overdue</v>
      </c>
    </row>
    <row r="24" spans="1:9" ht="29.1">
      <c r="A24" s="267" t="s">
        <v>2691</v>
      </c>
      <c r="B24" s="281" t="s">
        <v>1012</v>
      </c>
      <c r="C24" s="266" t="s">
        <v>2692</v>
      </c>
      <c r="D24" s="266" t="s">
        <v>2693</v>
      </c>
      <c r="E24" s="266" t="s">
        <v>2694</v>
      </c>
      <c r="F24" s="280">
        <f>DATE(2026,10,2)</f>
        <v>46297</v>
      </c>
      <c r="G24" s="266" t="s">
        <v>2695</v>
      </c>
      <c r="H24" s="267" t="s">
        <v>2696</v>
      </c>
      <c r="I24" s="267" t="str">
        <f t="shared" ca="1" si="0"/>
        <v>Due ≤3d</v>
      </c>
    </row>
    <row r="25" spans="1:9" ht="43.5">
      <c r="A25" s="265" t="s">
        <v>2697</v>
      </c>
      <c r="B25" s="282" t="s">
        <v>1012</v>
      </c>
      <c r="C25" s="264" t="s">
        <v>2698</v>
      </c>
      <c r="D25" s="264" t="s">
        <v>2699</v>
      </c>
      <c r="E25" s="264" t="s">
        <v>2700</v>
      </c>
      <c r="F25" s="278">
        <f>DATE(2026,9,25)</f>
        <v>46290</v>
      </c>
      <c r="G25" s="264" t="s">
        <v>2701</v>
      </c>
      <c r="H25" s="265" t="s">
        <v>2690</v>
      </c>
      <c r="I25" s="265" t="str">
        <f t="shared" ca="1" si="0"/>
        <v>Overdue</v>
      </c>
    </row>
    <row r="26" spans="1:9" ht="29.1">
      <c r="A26" s="272" t="s">
        <v>2702</v>
      </c>
      <c r="B26" s="283" t="s">
        <v>1012</v>
      </c>
      <c r="C26" s="273" t="s">
        <v>2703</v>
      </c>
      <c r="D26" s="273" t="s">
        <v>2704</v>
      </c>
      <c r="E26" s="273" t="s">
        <v>2705</v>
      </c>
      <c r="F26" s="284">
        <f>DATE(2026,9,14)</f>
        <v>46279</v>
      </c>
      <c r="G26" s="273" t="s">
        <v>2706</v>
      </c>
      <c r="H26" s="272" t="s">
        <v>2707</v>
      </c>
      <c r="I26" s="272" t="str">
        <f t="shared" ca="1" si="0"/>
        <v>Overdue</v>
      </c>
    </row>
    <row r="29" spans="1:9">
      <c r="A29" s="355" t="s">
        <v>2708</v>
      </c>
      <c r="B29" s="358"/>
      <c r="C29" s="358"/>
      <c r="D29" s="358"/>
      <c r="E29" s="358"/>
      <c r="F29" s="358"/>
      <c r="G29" s="358"/>
      <c r="H29" s="358"/>
      <c r="I29" s="358"/>
    </row>
    <row r="30" spans="1:9" ht="29.1">
      <c r="A30" s="285" t="s">
        <v>818</v>
      </c>
      <c r="B30" s="285" t="s">
        <v>2008</v>
      </c>
      <c r="C30" s="285" t="s">
        <v>2709</v>
      </c>
      <c r="D30" s="285" t="s">
        <v>2012</v>
      </c>
      <c r="E30" s="285" t="s">
        <v>2013</v>
      </c>
    </row>
    <row r="31" spans="1:9" ht="101.45">
      <c r="A31" s="261" t="s">
        <v>824</v>
      </c>
      <c r="B31" s="261" t="s">
        <v>825</v>
      </c>
      <c r="C31" s="261" t="s">
        <v>2015</v>
      </c>
      <c r="D31" s="261" t="s">
        <v>2017</v>
      </c>
      <c r="E31" s="261" t="s">
        <v>956</v>
      </c>
    </row>
    <row r="32" spans="1:9" ht="116.1">
      <c r="A32" s="262" t="s">
        <v>830</v>
      </c>
      <c r="B32" s="262" t="s">
        <v>831</v>
      </c>
      <c r="C32" s="262" t="s">
        <v>2048</v>
      </c>
      <c r="D32" s="262" t="s">
        <v>2050</v>
      </c>
      <c r="E32" s="262" t="s">
        <v>962</v>
      </c>
    </row>
    <row r="33" spans="1:5" ht="130.5">
      <c r="A33" s="261" t="s">
        <v>836</v>
      </c>
      <c r="B33" s="261" t="s">
        <v>837</v>
      </c>
      <c r="C33" s="261" t="s">
        <v>2083</v>
      </c>
      <c r="D33" s="261" t="s">
        <v>2085</v>
      </c>
      <c r="E33" s="261" t="s">
        <v>968</v>
      </c>
    </row>
    <row r="34" spans="1:5" ht="101.45">
      <c r="A34" s="262" t="s">
        <v>842</v>
      </c>
      <c r="B34" s="262" t="s">
        <v>843</v>
      </c>
      <c r="C34" s="262" t="s">
        <v>2117</v>
      </c>
      <c r="D34" s="262" t="s">
        <v>2119</v>
      </c>
      <c r="E34" s="262" t="s">
        <v>974</v>
      </c>
    </row>
    <row r="35" spans="1:5" ht="87">
      <c r="A35" s="261" t="s">
        <v>848</v>
      </c>
      <c r="B35" s="261" t="s">
        <v>849</v>
      </c>
      <c r="C35" s="261" t="s">
        <v>2151</v>
      </c>
      <c r="D35" s="261" t="s">
        <v>2153</v>
      </c>
      <c r="E35" s="261" t="s">
        <v>980</v>
      </c>
    </row>
    <row r="36" spans="1:5" ht="116.1">
      <c r="A36" s="262" t="s">
        <v>854</v>
      </c>
      <c r="B36" s="262" t="s">
        <v>855</v>
      </c>
      <c r="C36" s="262" t="s">
        <v>2188</v>
      </c>
      <c r="D36" s="262" t="s">
        <v>2190</v>
      </c>
      <c r="E36" s="262" t="s">
        <v>986</v>
      </c>
    </row>
  </sheetData>
  <mergeCells count="5">
    <mergeCell ref="A1:I1"/>
    <mergeCell ref="A2:I2"/>
    <mergeCell ref="A4:I6"/>
    <mergeCell ref="A8:I8"/>
    <mergeCell ref="A29:I29"/>
  </mergeCells>
  <pageMargins left="0.7" right="0.7" top="0.75" bottom="0.75" header="0.3" footer="0.3"/>
  <headerFooter>
    <oddFooter>&amp;L_x000D_&amp;1#&amp;"Aptos"&amp;10&amp;K000000 Confidential-Internal</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BF07B-51CF-4EE6-BBF6-0D259B26F510}">
  <dimension ref="A1:J146"/>
  <sheetViews>
    <sheetView workbookViewId="0">
      <selection activeCell="I11" sqref="I11:J11"/>
    </sheetView>
  </sheetViews>
  <sheetFormatPr defaultColWidth="8.7109375" defaultRowHeight="15.6"/>
  <cols>
    <col min="1" max="1" width="8.7109375" style="2"/>
    <col min="2" max="2" width="20.140625" style="2" customWidth="1"/>
    <col min="3" max="3" width="19.42578125" style="2" customWidth="1"/>
    <col min="4" max="4" width="33.28515625" style="2" customWidth="1"/>
    <col min="5" max="5" width="34.5703125" style="2" customWidth="1"/>
    <col min="6" max="6" width="36.42578125" style="2" customWidth="1"/>
    <col min="7" max="7" width="28.140625" style="2" customWidth="1"/>
    <col min="8" max="9" width="26.42578125" style="2" customWidth="1"/>
    <col min="10" max="10" width="13.5703125" style="2" customWidth="1"/>
    <col min="11" max="16384" width="8.7109375" style="2"/>
  </cols>
  <sheetData>
    <row r="1" spans="1:10" ht="15.95" thickBot="1">
      <c r="B1" s="6" t="s">
        <v>2191</v>
      </c>
      <c r="C1" s="6" t="s">
        <v>2192</v>
      </c>
      <c r="D1" s="20" t="s">
        <v>2193</v>
      </c>
      <c r="E1" s="6" t="s">
        <v>2194</v>
      </c>
      <c r="F1" s="7" t="s">
        <v>1626</v>
      </c>
      <c r="G1" s="7" t="s">
        <v>2195</v>
      </c>
      <c r="H1" s="7" t="s">
        <v>2196</v>
      </c>
      <c r="I1" s="7" t="s">
        <v>2299</v>
      </c>
      <c r="J1" s="7" t="s">
        <v>2198</v>
      </c>
    </row>
    <row r="2" spans="1:10" ht="62.45" thickBot="1">
      <c r="A2" s="3" t="s">
        <v>2710</v>
      </c>
      <c r="B2" s="2" t="s">
        <v>2711</v>
      </c>
      <c r="C2" s="1" t="s">
        <v>2712</v>
      </c>
      <c r="D2" s="47" t="s">
        <v>2713</v>
      </c>
      <c r="E2" s="49" t="s">
        <v>2714</v>
      </c>
      <c r="F2" s="5" t="s">
        <v>2715</v>
      </c>
      <c r="G2" s="5" t="s">
        <v>2716</v>
      </c>
      <c r="H2" s="5" t="s">
        <v>2717</v>
      </c>
      <c r="I2" s="5" t="s">
        <v>2718</v>
      </c>
      <c r="J2" s="5" t="s">
        <v>2719</v>
      </c>
    </row>
    <row r="3" spans="1:10" ht="15.95" thickBot="1">
      <c r="F3" s="5" t="s">
        <v>2720</v>
      </c>
      <c r="G3" s="5" t="s">
        <v>2721</v>
      </c>
      <c r="H3" s="5" t="s">
        <v>2722</v>
      </c>
      <c r="I3" s="5" t="s">
        <v>2723</v>
      </c>
      <c r="J3" s="5" t="s">
        <v>2724</v>
      </c>
    </row>
    <row r="4" spans="1:10" ht="15.95" thickBot="1">
      <c r="A4" s="1"/>
      <c r="F4" s="5" t="s">
        <v>2725</v>
      </c>
      <c r="G4" s="5" t="s">
        <v>2726</v>
      </c>
      <c r="H4" s="5" t="s">
        <v>2727</v>
      </c>
      <c r="I4" s="5" t="s">
        <v>2728</v>
      </c>
      <c r="J4" s="5" t="s">
        <v>2729</v>
      </c>
    </row>
    <row r="5" spans="1:10" ht="15.95" thickBot="1">
      <c r="F5" s="5" t="s">
        <v>2730</v>
      </c>
      <c r="G5" s="5" t="s">
        <v>2731</v>
      </c>
      <c r="H5" s="5" t="s">
        <v>2732</v>
      </c>
      <c r="I5" s="5" t="s">
        <v>2733</v>
      </c>
      <c r="J5" s="5" t="s">
        <v>2734</v>
      </c>
    </row>
    <row r="6" spans="1:10" ht="15.95" thickBot="1">
      <c r="A6" s="1"/>
      <c r="F6" s="5" t="s">
        <v>2735</v>
      </c>
      <c r="G6" s="5" t="s">
        <v>2736</v>
      </c>
      <c r="H6" s="5" t="s">
        <v>2737</v>
      </c>
      <c r="I6" s="5" t="s">
        <v>2738</v>
      </c>
      <c r="J6" s="5" t="s">
        <v>2739</v>
      </c>
    </row>
    <row r="7" spans="1:10" ht="15.95" thickBot="1">
      <c r="F7" s="5" t="s">
        <v>2740</v>
      </c>
      <c r="G7" s="5" t="s">
        <v>2741</v>
      </c>
      <c r="H7" s="5" t="s">
        <v>2742</v>
      </c>
      <c r="I7" s="5" t="s">
        <v>2743</v>
      </c>
      <c r="J7" s="5" t="s">
        <v>2744</v>
      </c>
    </row>
    <row r="8" spans="1:10" ht="15.95" thickBot="1">
      <c r="A8" s="1"/>
      <c r="F8" s="5" t="s">
        <v>2745</v>
      </c>
      <c r="G8" s="5" t="s">
        <v>2746</v>
      </c>
      <c r="H8" s="5" t="s">
        <v>2747</v>
      </c>
      <c r="I8" s="5" t="s">
        <v>2748</v>
      </c>
      <c r="J8" s="5" t="s">
        <v>2749</v>
      </c>
    </row>
    <row r="9" spans="1:10" ht="15.95" thickBot="1">
      <c r="F9" s="5" t="s">
        <v>2750</v>
      </c>
      <c r="G9" s="5" t="s">
        <v>2751</v>
      </c>
      <c r="H9" s="5" t="s">
        <v>2752</v>
      </c>
      <c r="I9" s="5" t="s">
        <v>2753</v>
      </c>
      <c r="J9" s="5" t="s">
        <v>2754</v>
      </c>
    </row>
    <row r="10" spans="1:10" ht="15.95" thickBot="1">
      <c r="A10" s="1"/>
      <c r="F10" s="5" t="s">
        <v>2755</v>
      </c>
      <c r="G10" s="5" t="s">
        <v>2756</v>
      </c>
      <c r="H10" s="5" t="s">
        <v>2757</v>
      </c>
      <c r="I10" s="5" t="s">
        <v>2758</v>
      </c>
      <c r="J10" s="5" t="s">
        <v>2759</v>
      </c>
    </row>
    <row r="11" spans="1:10" ht="15.95" thickBot="1">
      <c r="F11" s="5" t="s">
        <v>2760</v>
      </c>
      <c r="G11" s="5" t="s">
        <v>2761</v>
      </c>
      <c r="H11" s="5" t="s">
        <v>2762</v>
      </c>
      <c r="I11" s="5" t="s">
        <v>2763</v>
      </c>
      <c r="J11" s="5" t="s">
        <v>2764</v>
      </c>
    </row>
    <row r="12" spans="1:10" ht="15.95" thickBot="1">
      <c r="A12" s="1"/>
      <c r="D12" s="3" t="s">
        <v>2765</v>
      </c>
      <c r="F12" s="7" t="s">
        <v>143</v>
      </c>
      <c r="G12" s="7" t="s">
        <v>2766</v>
      </c>
    </row>
    <row r="13" spans="1:10" ht="15.95" thickBot="1">
      <c r="F13" s="5" t="s">
        <v>440</v>
      </c>
      <c r="G13" s="19">
        <v>0.15</v>
      </c>
    </row>
    <row r="14" spans="1:10" ht="15.95" thickBot="1">
      <c r="A14" s="1"/>
      <c r="F14" s="5" t="s">
        <v>2767</v>
      </c>
      <c r="G14" s="19">
        <v>0.2</v>
      </c>
    </row>
    <row r="15" spans="1:10" ht="15.95" thickBot="1">
      <c r="F15" s="5" t="s">
        <v>2768</v>
      </c>
      <c r="G15" s="19">
        <v>-0.3</v>
      </c>
    </row>
    <row r="16" spans="1:10" ht="15.95" thickBot="1">
      <c r="A16" s="1"/>
      <c r="F16" s="5" t="s">
        <v>2769</v>
      </c>
      <c r="G16" s="5" t="s">
        <v>2023</v>
      </c>
    </row>
    <row r="17" spans="4:10" ht="15.95" thickBot="1">
      <c r="F17" s="5" t="s">
        <v>2770</v>
      </c>
      <c r="G17" s="19">
        <v>-0.5</v>
      </c>
    </row>
    <row r="18" spans="4:10" ht="15.95" thickBot="1">
      <c r="F18" s="5" t="s">
        <v>2771</v>
      </c>
      <c r="G18" s="19">
        <v>-0.3</v>
      </c>
    </row>
    <row r="19" spans="4:10" ht="15.95" thickBot="1">
      <c r="F19" s="5" t="s">
        <v>2772</v>
      </c>
      <c r="G19" s="19">
        <v>-0.25</v>
      </c>
    </row>
    <row r="20" spans="4:10" ht="15.95" thickBot="1">
      <c r="F20" s="5" t="s">
        <v>2773</v>
      </c>
      <c r="G20" s="19">
        <v>0.25</v>
      </c>
    </row>
    <row r="21" spans="4:10" ht="15.95" thickBot="1">
      <c r="F21" s="5" t="s">
        <v>1630</v>
      </c>
      <c r="G21" s="19">
        <v>0.1</v>
      </c>
    </row>
    <row r="22" spans="4:10" ht="15.95" thickBot="1">
      <c r="F22" s="5" t="s">
        <v>2774</v>
      </c>
      <c r="G22" s="5" t="s">
        <v>1052</v>
      </c>
    </row>
    <row r="23" spans="4:10" ht="15.95" thickBot="1">
      <c r="D23" s="3" t="s">
        <v>2775</v>
      </c>
      <c r="F23" s="7" t="s">
        <v>2281</v>
      </c>
      <c r="G23" s="7" t="s">
        <v>2282</v>
      </c>
      <c r="H23" s="7" t="s">
        <v>2283</v>
      </c>
    </row>
    <row r="24" spans="4:10" ht="15.95" thickBot="1">
      <c r="F24" s="5" t="s">
        <v>2028</v>
      </c>
      <c r="G24" s="5" t="s">
        <v>1012</v>
      </c>
      <c r="H24" s="5" t="s">
        <v>2776</v>
      </c>
    </row>
    <row r="25" spans="4:10" ht="15.95" thickBot="1">
      <c r="F25" s="5" t="s">
        <v>2777</v>
      </c>
      <c r="G25" s="5" t="s">
        <v>1012</v>
      </c>
      <c r="H25" s="5" t="s">
        <v>2778</v>
      </c>
    </row>
    <row r="26" spans="4:10" ht="15.95" thickBot="1">
      <c r="F26" s="5" t="s">
        <v>2030</v>
      </c>
      <c r="G26" s="5" t="s">
        <v>1012</v>
      </c>
      <c r="H26" s="5" t="s">
        <v>2779</v>
      </c>
    </row>
    <row r="27" spans="4:10" ht="15.95" thickBot="1">
      <c r="F27" s="5" t="s">
        <v>2780</v>
      </c>
      <c r="G27" s="5" t="s">
        <v>1012</v>
      </c>
      <c r="H27" s="5" t="s">
        <v>2781</v>
      </c>
    </row>
    <row r="28" spans="4:10" ht="15.95" thickBot="1">
      <c r="F28" s="5" t="s">
        <v>2782</v>
      </c>
      <c r="G28" s="5" t="s">
        <v>2290</v>
      </c>
      <c r="H28" s="5" t="s">
        <v>2783</v>
      </c>
    </row>
    <row r="29" spans="4:10" ht="15.95" thickBot="1">
      <c r="F29" s="5" t="s">
        <v>2784</v>
      </c>
      <c r="G29" s="5" t="s">
        <v>2290</v>
      </c>
      <c r="H29" s="5" t="s">
        <v>2785</v>
      </c>
    </row>
    <row r="30" spans="4:10" ht="15.95" thickBot="1">
      <c r="F30" s="5" t="s">
        <v>2786</v>
      </c>
      <c r="G30" s="5" t="s">
        <v>1012</v>
      </c>
      <c r="H30" s="5" t="s">
        <v>2787</v>
      </c>
    </row>
    <row r="31" spans="4:10" ht="15.95" thickBot="1">
      <c r="F31" s="5" t="s">
        <v>2788</v>
      </c>
      <c r="G31" s="5" t="s">
        <v>2290</v>
      </c>
      <c r="H31" s="5" t="s">
        <v>2789</v>
      </c>
    </row>
    <row r="32" spans="4:10" ht="15.95" thickBot="1">
      <c r="E32" s="6" t="s">
        <v>2194</v>
      </c>
      <c r="F32" s="7" t="s">
        <v>1626</v>
      </c>
      <c r="G32" s="7" t="s">
        <v>2195</v>
      </c>
      <c r="H32" s="7" t="s">
        <v>2196</v>
      </c>
      <c r="I32" s="7" t="s">
        <v>2299</v>
      </c>
      <c r="J32" s="8" t="s">
        <v>2198</v>
      </c>
    </row>
    <row r="33" spans="4:10" ht="31.5" thickBot="1">
      <c r="D33" s="47" t="s">
        <v>2790</v>
      </c>
      <c r="E33" s="1" t="s">
        <v>2791</v>
      </c>
      <c r="F33" s="5" t="s">
        <v>2792</v>
      </c>
      <c r="G33" s="5" t="s">
        <v>2793</v>
      </c>
      <c r="H33" s="5" t="s">
        <v>2794</v>
      </c>
      <c r="I33" s="5" t="s">
        <v>2795</v>
      </c>
      <c r="J33" s="5" t="s">
        <v>2796</v>
      </c>
    </row>
    <row r="34" spans="4:10" ht="15.95" thickBot="1">
      <c r="F34" s="5" t="s">
        <v>2797</v>
      </c>
      <c r="G34" s="5" t="s">
        <v>2798</v>
      </c>
      <c r="H34" s="5" t="s">
        <v>2799</v>
      </c>
      <c r="I34" s="5" t="s">
        <v>2800</v>
      </c>
      <c r="J34" s="5" t="s">
        <v>2801</v>
      </c>
    </row>
    <row r="35" spans="4:10" ht="15.95" thickBot="1">
      <c r="F35" s="5" t="s">
        <v>2802</v>
      </c>
      <c r="G35" s="5" t="s">
        <v>2803</v>
      </c>
      <c r="H35" s="5" t="s">
        <v>2804</v>
      </c>
      <c r="I35" s="5" t="s">
        <v>2805</v>
      </c>
      <c r="J35" s="5" t="s">
        <v>2233</v>
      </c>
    </row>
    <row r="36" spans="4:10" ht="15.95" thickBot="1">
      <c r="F36" s="5" t="s">
        <v>2806</v>
      </c>
      <c r="G36" s="5" t="s">
        <v>2807</v>
      </c>
      <c r="H36" s="5" t="s">
        <v>2808</v>
      </c>
      <c r="I36" s="5" t="s">
        <v>2809</v>
      </c>
      <c r="J36" s="5" t="s">
        <v>2810</v>
      </c>
    </row>
    <row r="37" spans="4:10" ht="15.95" thickBot="1">
      <c r="F37" s="5" t="s">
        <v>2811</v>
      </c>
      <c r="G37" s="5" t="s">
        <v>2812</v>
      </c>
      <c r="H37" s="5" t="s">
        <v>2813</v>
      </c>
      <c r="I37" s="5" t="s">
        <v>2814</v>
      </c>
      <c r="J37" s="5" t="s">
        <v>2815</v>
      </c>
    </row>
    <row r="38" spans="4:10" ht="15.95" thickBot="1">
      <c r="F38" s="5" t="s">
        <v>2816</v>
      </c>
      <c r="G38" s="5" t="s">
        <v>2817</v>
      </c>
      <c r="H38" s="5" t="s">
        <v>2818</v>
      </c>
      <c r="I38" s="5" t="s">
        <v>2819</v>
      </c>
      <c r="J38" s="5" t="s">
        <v>2820</v>
      </c>
    </row>
    <row r="39" spans="4:10" ht="15.95" thickBot="1">
      <c r="F39" s="5" t="s">
        <v>2821</v>
      </c>
      <c r="G39" s="5" t="s">
        <v>2822</v>
      </c>
      <c r="H39" s="5" t="s">
        <v>2823</v>
      </c>
      <c r="I39" s="5" t="s">
        <v>2824</v>
      </c>
      <c r="J39" s="5" t="s">
        <v>2825</v>
      </c>
    </row>
    <row r="40" spans="4:10" ht="15.95" thickBot="1">
      <c r="F40" s="5" t="s">
        <v>2826</v>
      </c>
      <c r="G40" s="5" t="s">
        <v>2827</v>
      </c>
      <c r="H40" s="5" t="s">
        <v>2828</v>
      </c>
      <c r="I40" s="5" t="s">
        <v>2829</v>
      </c>
      <c r="J40" s="5" t="s">
        <v>2830</v>
      </c>
    </row>
    <row r="41" spans="4:10" ht="15.95" thickBot="1">
      <c r="F41" s="5" t="s">
        <v>2831</v>
      </c>
      <c r="G41" s="5" t="s">
        <v>2832</v>
      </c>
      <c r="H41" s="5" t="s">
        <v>2833</v>
      </c>
      <c r="I41" s="5" t="s">
        <v>2834</v>
      </c>
      <c r="J41" s="5" t="s">
        <v>2835</v>
      </c>
    </row>
    <row r="42" spans="4:10" ht="15.95" thickBot="1">
      <c r="F42" s="5" t="s">
        <v>2836</v>
      </c>
      <c r="G42" s="5" t="s">
        <v>2837</v>
      </c>
      <c r="H42" s="5" t="s">
        <v>2838</v>
      </c>
      <c r="I42" s="5" t="s">
        <v>2839</v>
      </c>
      <c r="J42" s="5" t="s">
        <v>2840</v>
      </c>
    </row>
    <row r="43" spans="4:10" ht="15.95" thickBot="1">
      <c r="E43" s="6" t="s">
        <v>2841</v>
      </c>
      <c r="F43" s="7" t="s">
        <v>143</v>
      </c>
      <c r="G43" s="7" t="s">
        <v>2266</v>
      </c>
    </row>
    <row r="44" spans="4:10" ht="15.95" thickBot="1">
      <c r="F44" s="5" t="s">
        <v>2842</v>
      </c>
      <c r="G44" s="5" t="s">
        <v>1047</v>
      </c>
    </row>
    <row r="45" spans="4:10" ht="15.95" thickBot="1">
      <c r="F45" s="5" t="s">
        <v>2843</v>
      </c>
      <c r="G45" s="5" t="s">
        <v>1052</v>
      </c>
    </row>
    <row r="46" spans="4:10" ht="15.95" thickBot="1">
      <c r="F46" s="5" t="s">
        <v>2844</v>
      </c>
      <c r="G46" s="5" t="s">
        <v>1052</v>
      </c>
    </row>
    <row r="47" spans="4:10" ht="15.95" thickBot="1">
      <c r="F47" s="5" t="s">
        <v>2845</v>
      </c>
      <c r="G47" s="19">
        <v>-0.3</v>
      </c>
    </row>
    <row r="48" spans="4:10" ht="15.95" thickBot="1">
      <c r="F48" s="5" t="s">
        <v>2846</v>
      </c>
      <c r="G48" s="5" t="s">
        <v>1047</v>
      </c>
    </row>
    <row r="49" spans="4:10" ht="15.95" thickBot="1">
      <c r="F49" s="5" t="s">
        <v>2847</v>
      </c>
      <c r="G49" s="19">
        <v>-0.25</v>
      </c>
    </row>
    <row r="50" spans="4:10" ht="15.95" thickBot="1">
      <c r="F50" s="5" t="s">
        <v>2848</v>
      </c>
      <c r="G50" s="19">
        <v>0.15</v>
      </c>
    </row>
    <row r="51" spans="4:10" ht="15.95" thickBot="1">
      <c r="F51" s="5" t="s">
        <v>1899</v>
      </c>
      <c r="G51" s="19">
        <v>0.2</v>
      </c>
    </row>
    <row r="52" spans="4:10" ht="15.95" thickBot="1">
      <c r="F52" s="5" t="s">
        <v>2849</v>
      </c>
      <c r="G52" s="19">
        <v>-0.35</v>
      </c>
    </row>
    <row r="53" spans="4:10" ht="15.95" thickBot="1">
      <c r="F53" s="5" t="s">
        <v>2769</v>
      </c>
      <c r="G53" s="5" t="s">
        <v>2023</v>
      </c>
    </row>
    <row r="54" spans="4:10" ht="15.95" thickBot="1">
      <c r="D54" s="3" t="s">
        <v>2850</v>
      </c>
      <c r="F54" s="7" t="s">
        <v>2281</v>
      </c>
      <c r="G54" s="7" t="s">
        <v>2282</v>
      </c>
      <c r="H54" s="7" t="s">
        <v>2283</v>
      </c>
    </row>
    <row r="55" spans="4:10" ht="15.95" thickBot="1">
      <c r="F55" s="5" t="s">
        <v>2851</v>
      </c>
      <c r="G55" s="5" t="s">
        <v>1012</v>
      </c>
      <c r="H55" s="5" t="s">
        <v>2852</v>
      </c>
    </row>
    <row r="56" spans="4:10" ht="15.95" thickBot="1">
      <c r="F56" s="5" t="s">
        <v>2853</v>
      </c>
      <c r="G56" s="5" t="s">
        <v>2290</v>
      </c>
      <c r="H56" s="5" t="s">
        <v>2854</v>
      </c>
    </row>
    <row r="57" spans="4:10" ht="15.95" thickBot="1">
      <c r="F57" s="5" t="s">
        <v>2855</v>
      </c>
      <c r="G57" s="5" t="s">
        <v>2290</v>
      </c>
      <c r="H57" s="5" t="s">
        <v>2856</v>
      </c>
    </row>
    <row r="58" spans="4:10" ht="15.95" thickBot="1">
      <c r="F58" s="5" t="s">
        <v>2857</v>
      </c>
      <c r="G58" s="5" t="s">
        <v>1012</v>
      </c>
      <c r="H58" s="5" t="s">
        <v>2858</v>
      </c>
    </row>
    <row r="59" spans="4:10" ht="15.95" thickBot="1">
      <c r="F59" s="5" t="s">
        <v>2859</v>
      </c>
      <c r="G59" s="5" t="s">
        <v>2290</v>
      </c>
      <c r="H59" s="5" t="s">
        <v>2860</v>
      </c>
    </row>
    <row r="60" spans="4:10" ht="15.95" thickBot="1">
      <c r="F60" s="5" t="s">
        <v>2861</v>
      </c>
      <c r="G60" s="5" t="s">
        <v>1012</v>
      </c>
      <c r="H60" s="5" t="s">
        <v>2862</v>
      </c>
    </row>
    <row r="61" spans="4:10" ht="15.95" thickBot="1">
      <c r="F61" s="5" t="s">
        <v>2863</v>
      </c>
      <c r="G61" s="5" t="s">
        <v>2290</v>
      </c>
      <c r="H61" s="5" t="s">
        <v>2864</v>
      </c>
    </row>
    <row r="62" spans="4:10" ht="15.95" thickBot="1">
      <c r="F62" s="5" t="s">
        <v>2865</v>
      </c>
      <c r="G62" s="5" t="s">
        <v>2290</v>
      </c>
      <c r="H62" s="5" t="s">
        <v>2866</v>
      </c>
    </row>
    <row r="63" spans="4:10" ht="15.95" thickBot="1">
      <c r="E63" s="3" t="s">
        <v>2194</v>
      </c>
      <c r="F63" s="7" t="s">
        <v>1626</v>
      </c>
      <c r="G63" s="7" t="s">
        <v>2195</v>
      </c>
      <c r="H63" s="7" t="s">
        <v>2196</v>
      </c>
      <c r="I63" s="7" t="s">
        <v>2299</v>
      </c>
      <c r="J63" s="7" t="s">
        <v>2198</v>
      </c>
    </row>
    <row r="64" spans="4:10" ht="15.95" thickBot="1">
      <c r="D64" s="3" t="s">
        <v>2867</v>
      </c>
      <c r="E64" s="1" t="s">
        <v>2868</v>
      </c>
      <c r="F64" s="5" t="s">
        <v>2869</v>
      </c>
      <c r="G64" s="5" t="s">
        <v>2870</v>
      </c>
      <c r="H64" s="5" t="s">
        <v>2871</v>
      </c>
      <c r="I64" s="5" t="s">
        <v>2872</v>
      </c>
      <c r="J64" s="5" t="s">
        <v>2873</v>
      </c>
    </row>
    <row r="65" spans="4:10" ht="15.95" thickBot="1">
      <c r="F65" s="5" t="s">
        <v>2874</v>
      </c>
      <c r="G65" s="5" t="s">
        <v>2875</v>
      </c>
      <c r="H65" s="5" t="s">
        <v>2876</v>
      </c>
      <c r="I65" s="5" t="s">
        <v>2877</v>
      </c>
      <c r="J65" s="5" t="s">
        <v>2878</v>
      </c>
    </row>
    <row r="66" spans="4:10" ht="15.95" thickBot="1">
      <c r="F66" s="5" t="s">
        <v>2879</v>
      </c>
      <c r="G66" s="5" t="s">
        <v>2880</v>
      </c>
      <c r="H66" s="5" t="s">
        <v>2881</v>
      </c>
      <c r="I66" s="5" t="s">
        <v>2882</v>
      </c>
      <c r="J66" s="5" t="s">
        <v>2335</v>
      </c>
    </row>
    <row r="67" spans="4:10" ht="15.95" thickBot="1">
      <c r="F67" s="5" t="s">
        <v>2750</v>
      </c>
      <c r="G67" s="5" t="s">
        <v>2883</v>
      </c>
      <c r="H67" s="5" t="s">
        <v>2752</v>
      </c>
      <c r="I67" s="5" t="s">
        <v>2884</v>
      </c>
      <c r="J67" s="5" t="s">
        <v>2885</v>
      </c>
    </row>
    <row r="68" spans="4:10" ht="15.95" thickBot="1">
      <c r="F68" s="5" t="s">
        <v>2886</v>
      </c>
      <c r="G68" s="5" t="s">
        <v>2887</v>
      </c>
      <c r="H68" s="5" t="s">
        <v>2888</v>
      </c>
      <c r="I68" s="5" t="s">
        <v>2889</v>
      </c>
      <c r="J68" s="5" t="s">
        <v>2890</v>
      </c>
    </row>
    <row r="69" spans="4:10" ht="15.95" thickBot="1">
      <c r="F69" s="5" t="s">
        <v>2891</v>
      </c>
      <c r="G69" s="5" t="s">
        <v>2892</v>
      </c>
      <c r="H69" s="5" t="s">
        <v>2893</v>
      </c>
      <c r="I69" s="5" t="s">
        <v>2894</v>
      </c>
      <c r="J69" s="5" t="s">
        <v>2895</v>
      </c>
    </row>
    <row r="70" spans="4:10" ht="15.95" thickBot="1">
      <c r="F70" s="5" t="s">
        <v>2896</v>
      </c>
      <c r="G70" s="5" t="s">
        <v>2897</v>
      </c>
      <c r="H70" s="5" t="s">
        <v>2898</v>
      </c>
      <c r="I70" s="5" t="s">
        <v>2899</v>
      </c>
      <c r="J70" s="5" t="s">
        <v>2900</v>
      </c>
    </row>
    <row r="71" spans="4:10" ht="15.95" thickBot="1">
      <c r="F71" s="5" t="s">
        <v>2901</v>
      </c>
      <c r="G71" s="5" t="s">
        <v>2902</v>
      </c>
      <c r="H71" s="5" t="s">
        <v>2903</v>
      </c>
      <c r="I71" s="5" t="s">
        <v>2904</v>
      </c>
      <c r="J71" s="5" t="s">
        <v>2905</v>
      </c>
    </row>
    <row r="72" spans="4:10" ht="15.95" thickBot="1">
      <c r="F72" s="5" t="s">
        <v>2906</v>
      </c>
      <c r="G72" s="5" t="s">
        <v>2907</v>
      </c>
      <c r="H72" s="5" t="s">
        <v>2908</v>
      </c>
      <c r="I72" s="5" t="s">
        <v>2909</v>
      </c>
      <c r="J72" s="5" t="s">
        <v>2910</v>
      </c>
    </row>
    <row r="73" spans="4:10" ht="15.95" thickBot="1">
      <c r="F73" s="5" t="s">
        <v>2911</v>
      </c>
      <c r="G73" s="5" t="s">
        <v>2912</v>
      </c>
      <c r="H73" s="5" t="s">
        <v>2913</v>
      </c>
      <c r="I73" s="5" t="s">
        <v>2914</v>
      </c>
      <c r="J73" s="5" t="s">
        <v>2915</v>
      </c>
    </row>
    <row r="74" spans="4:10" ht="15.95" thickBot="1">
      <c r="D74" s="3" t="s">
        <v>2916</v>
      </c>
      <c r="F74" s="7" t="s">
        <v>143</v>
      </c>
      <c r="G74" s="7" t="s">
        <v>2266</v>
      </c>
    </row>
    <row r="75" spans="4:10" ht="15.95" thickBot="1">
      <c r="F75" s="5" t="s">
        <v>1488</v>
      </c>
      <c r="G75" s="15" t="s">
        <v>1047</v>
      </c>
    </row>
    <row r="76" spans="4:10" ht="15.95" thickBot="1">
      <c r="F76" s="5" t="s">
        <v>2917</v>
      </c>
      <c r="G76" s="15" t="s">
        <v>1060</v>
      </c>
    </row>
    <row r="77" spans="4:10" ht="15.95" thickBot="1">
      <c r="F77" s="5" t="s">
        <v>2918</v>
      </c>
      <c r="G77" s="16">
        <v>1</v>
      </c>
    </row>
    <row r="78" spans="4:10" ht="15.95" thickBot="1">
      <c r="F78" s="5" t="s">
        <v>2919</v>
      </c>
      <c r="G78" s="15" t="s">
        <v>1047</v>
      </c>
    </row>
    <row r="79" spans="4:10" ht="15.95" thickBot="1">
      <c r="F79" s="5" t="s">
        <v>2920</v>
      </c>
      <c r="G79" s="16">
        <v>1</v>
      </c>
    </row>
    <row r="80" spans="4:10" ht="15.95" thickBot="1">
      <c r="F80" s="5" t="s">
        <v>2921</v>
      </c>
      <c r="G80" s="15" t="s">
        <v>1060</v>
      </c>
    </row>
    <row r="81" spans="4:8" ht="15.95" thickBot="1">
      <c r="F81" s="5" t="s">
        <v>2922</v>
      </c>
      <c r="G81" s="16">
        <v>-0.5</v>
      </c>
    </row>
    <row r="82" spans="4:8" ht="15.95" thickBot="1">
      <c r="F82" s="5" t="s">
        <v>2923</v>
      </c>
      <c r="G82" s="16">
        <v>-0.6</v>
      </c>
    </row>
    <row r="83" spans="4:8" ht="15.95" thickBot="1">
      <c r="F83" s="5" t="s">
        <v>2924</v>
      </c>
      <c r="G83" s="15" t="s">
        <v>1060</v>
      </c>
    </row>
    <row r="84" spans="4:8" ht="15.95" thickBot="1">
      <c r="F84" s="5" t="s">
        <v>1857</v>
      </c>
      <c r="G84" s="15" t="s">
        <v>1074</v>
      </c>
    </row>
    <row r="85" spans="4:8" ht="15.95" thickBot="1">
      <c r="D85" s="3" t="s">
        <v>2925</v>
      </c>
      <c r="F85" s="7" t="s">
        <v>2281</v>
      </c>
      <c r="G85" s="7" t="s">
        <v>2282</v>
      </c>
      <c r="H85" s="7" t="s">
        <v>2283</v>
      </c>
    </row>
    <row r="86" spans="4:8" ht="15.95" thickBot="1">
      <c r="F86" s="5" t="s">
        <v>2926</v>
      </c>
      <c r="G86" s="5" t="s">
        <v>1012</v>
      </c>
      <c r="H86" s="5" t="s">
        <v>2927</v>
      </c>
    </row>
    <row r="87" spans="4:8" ht="15.95" thickBot="1">
      <c r="F87" s="5" t="s">
        <v>2928</v>
      </c>
      <c r="G87" s="5" t="s">
        <v>1012</v>
      </c>
      <c r="H87" s="5" t="s">
        <v>2929</v>
      </c>
    </row>
    <row r="88" spans="4:8" ht="15.95" thickBot="1">
      <c r="F88" s="5" t="s">
        <v>2930</v>
      </c>
      <c r="G88" s="5" t="s">
        <v>2290</v>
      </c>
      <c r="H88" s="5" t="s">
        <v>2931</v>
      </c>
    </row>
    <row r="89" spans="4:8" ht="15.95" thickBot="1">
      <c r="F89" s="5" t="s">
        <v>2932</v>
      </c>
      <c r="G89" s="5" t="s">
        <v>2290</v>
      </c>
      <c r="H89" s="5" t="s">
        <v>2933</v>
      </c>
    </row>
    <row r="90" spans="4:8" ht="15.95" thickBot="1">
      <c r="F90" s="5" t="s">
        <v>2934</v>
      </c>
      <c r="G90" s="5" t="s">
        <v>1012</v>
      </c>
      <c r="H90" s="5" t="s">
        <v>2935</v>
      </c>
    </row>
    <row r="91" spans="4:8" ht="15.95" thickBot="1">
      <c r="F91" s="5" t="s">
        <v>2936</v>
      </c>
      <c r="G91" s="5" t="s">
        <v>1012</v>
      </c>
      <c r="H91" s="5" t="s">
        <v>2937</v>
      </c>
    </row>
    <row r="92" spans="4:8" ht="15.95" thickBot="1">
      <c r="F92" s="5" t="s">
        <v>2938</v>
      </c>
      <c r="G92" s="5" t="s">
        <v>2290</v>
      </c>
      <c r="H92" s="5" t="s">
        <v>2939</v>
      </c>
    </row>
    <row r="93" spans="4:8" ht="15.95" thickBot="1">
      <c r="F93" s="5" t="s">
        <v>2940</v>
      </c>
      <c r="G93" s="5" t="s">
        <v>1012</v>
      </c>
      <c r="H93" s="5" t="s">
        <v>2941</v>
      </c>
    </row>
    <row r="94" spans="4:8" ht="15.95" thickBot="1"/>
    <row r="95" spans="4:8" ht="15.95" thickBot="1">
      <c r="D95" s="3" t="s">
        <v>2942</v>
      </c>
      <c r="F95" s="7" t="s">
        <v>2943</v>
      </c>
      <c r="G95" s="7" t="s">
        <v>2944</v>
      </c>
      <c r="H95" s="7" t="s">
        <v>2945</v>
      </c>
    </row>
    <row r="96" spans="4:8" ht="15.95" thickBot="1">
      <c r="F96" s="5" t="s">
        <v>2946</v>
      </c>
      <c r="G96" s="5" t="s">
        <v>2947</v>
      </c>
      <c r="H96" s="5" t="s">
        <v>2948</v>
      </c>
    </row>
    <row r="97" spans="4:8" ht="15.95" thickBot="1">
      <c r="F97" s="5" t="s">
        <v>2949</v>
      </c>
      <c r="G97" s="5" t="s">
        <v>2950</v>
      </c>
      <c r="H97" s="5" t="s">
        <v>2951</v>
      </c>
    </row>
    <row r="98" spans="4:8" ht="15.95" thickBot="1">
      <c r="F98" s="5" t="s">
        <v>2952</v>
      </c>
      <c r="G98" s="5" t="s">
        <v>2953</v>
      </c>
      <c r="H98" s="5" t="s">
        <v>2954</v>
      </c>
    </row>
    <row r="99" spans="4:8" ht="15.95" thickBot="1">
      <c r="F99" s="5" t="s">
        <v>2955</v>
      </c>
      <c r="G99" s="5" t="s">
        <v>2956</v>
      </c>
      <c r="H99" s="5" t="s">
        <v>2957</v>
      </c>
    </row>
    <row r="100" spans="4:8" ht="15.95" thickBot="1">
      <c r="F100" s="5" t="s">
        <v>2239</v>
      </c>
      <c r="G100" s="5" t="s">
        <v>2958</v>
      </c>
      <c r="H100" s="5" t="s">
        <v>2959</v>
      </c>
    </row>
    <row r="101" spans="4:8" ht="15.95" thickBot="1">
      <c r="F101" s="5" t="s">
        <v>510</v>
      </c>
      <c r="G101" s="5" t="s">
        <v>2960</v>
      </c>
      <c r="H101" s="5" t="s">
        <v>2961</v>
      </c>
    </row>
    <row r="102" spans="4:8" ht="15.95" thickBot="1">
      <c r="F102" s="5" t="s">
        <v>2962</v>
      </c>
      <c r="G102" s="5" t="s">
        <v>2963</v>
      </c>
      <c r="H102" s="5" t="s">
        <v>2964</v>
      </c>
    </row>
    <row r="103" spans="4:8" ht="15.95" thickBot="1">
      <c r="F103" s="5" t="s">
        <v>2965</v>
      </c>
      <c r="G103" s="5" t="s">
        <v>2966</v>
      </c>
      <c r="H103" s="5" t="s">
        <v>2967</v>
      </c>
    </row>
    <row r="104" spans="4:8" ht="15.95" thickBot="1">
      <c r="D104" s="3" t="s">
        <v>2968</v>
      </c>
      <c r="F104" s="7" t="s">
        <v>2379</v>
      </c>
      <c r="G104" s="7" t="s">
        <v>2266</v>
      </c>
    </row>
    <row r="105" spans="4:8" ht="15.95" thickBot="1">
      <c r="F105" s="5" t="s">
        <v>2969</v>
      </c>
      <c r="G105" s="5" t="s">
        <v>2381</v>
      </c>
    </row>
    <row r="106" spans="4:8" ht="15.95" thickBot="1">
      <c r="F106" s="5" t="s">
        <v>2970</v>
      </c>
      <c r="G106" s="5" t="s">
        <v>2381</v>
      </c>
    </row>
    <row r="107" spans="4:8" ht="15.95" thickBot="1">
      <c r="F107" s="5" t="s">
        <v>2971</v>
      </c>
      <c r="G107" s="5" t="s">
        <v>2381</v>
      </c>
    </row>
    <row r="108" spans="4:8" ht="15.95" thickBot="1">
      <c r="F108" s="5" t="s">
        <v>2972</v>
      </c>
      <c r="G108" s="5" t="s">
        <v>2381</v>
      </c>
    </row>
    <row r="109" spans="4:8" ht="15.95" thickBot="1">
      <c r="F109" s="5" t="s">
        <v>2973</v>
      </c>
      <c r="G109" s="5" t="s">
        <v>2381</v>
      </c>
    </row>
    <row r="110" spans="4:8" ht="15.95" thickBot="1">
      <c r="F110" s="5" t="s">
        <v>2974</v>
      </c>
      <c r="G110" s="5" t="s">
        <v>2381</v>
      </c>
    </row>
    <row r="111" spans="4:8" ht="15.95" thickBot="1">
      <c r="F111" s="5" t="s">
        <v>2975</v>
      </c>
      <c r="G111" s="5" t="s">
        <v>2381</v>
      </c>
    </row>
    <row r="112" spans="4:8" ht="15.95" thickBot="1">
      <c r="F112" s="5" t="s">
        <v>2976</v>
      </c>
      <c r="G112" s="5" t="s">
        <v>2381</v>
      </c>
    </row>
    <row r="113" spans="4:10" ht="15.95" thickBot="1">
      <c r="F113" s="5" t="s">
        <v>2977</v>
      </c>
      <c r="G113" s="5" t="s">
        <v>2381</v>
      </c>
    </row>
    <row r="114" spans="4:10" ht="15.95" thickBot="1">
      <c r="F114" s="5" t="s">
        <v>2978</v>
      </c>
      <c r="G114" s="5" t="s">
        <v>2381</v>
      </c>
    </row>
    <row r="115" spans="4:10">
      <c r="D115" s="3" t="s">
        <v>2979</v>
      </c>
      <c r="F115" s="17" t="s">
        <v>2980</v>
      </c>
    </row>
    <row r="116" spans="4:10">
      <c r="F116" s="17" t="s">
        <v>2981</v>
      </c>
    </row>
    <row r="117" spans="4:10">
      <c r="F117" s="17" t="s">
        <v>2982</v>
      </c>
    </row>
    <row r="118" spans="4:10">
      <c r="F118" s="17" t="s">
        <v>2983</v>
      </c>
    </row>
    <row r="119" spans="4:10">
      <c r="F119" s="17" t="s">
        <v>2984</v>
      </c>
    </row>
    <row r="120" spans="4:10">
      <c r="F120" s="17" t="s">
        <v>2985</v>
      </c>
    </row>
    <row r="121" spans="4:10">
      <c r="F121" s="17" t="s">
        <v>2986</v>
      </c>
    </row>
    <row r="122" spans="4:10">
      <c r="F122" s="17" t="s">
        <v>2987</v>
      </c>
    </row>
    <row r="123" spans="4:10">
      <c r="F123" s="17" t="s">
        <v>2988</v>
      </c>
    </row>
    <row r="124" spans="4:10">
      <c r="F124" s="17" t="s">
        <v>2989</v>
      </c>
    </row>
    <row r="125" spans="4:10">
      <c r="F125" s="17"/>
    </row>
    <row r="126" spans="4:10" ht="15.95">
      <c r="D126" s="359" t="s">
        <v>2404</v>
      </c>
      <c r="E126" s="359"/>
      <c r="F126" s="359"/>
      <c r="G126" s="359"/>
      <c r="H126" s="359"/>
      <c r="I126" s="359"/>
      <c r="J126" s="359"/>
    </row>
    <row r="127" spans="4:10">
      <c r="D127" s="97" t="s">
        <v>1992</v>
      </c>
      <c r="E127" s="97" t="s">
        <v>2405</v>
      </c>
      <c r="F127" s="97" t="s">
        <v>2406</v>
      </c>
      <c r="G127" s="97" t="s">
        <v>2407</v>
      </c>
      <c r="H127" s="97" t="s">
        <v>996</v>
      </c>
      <c r="I127" s="97" t="s">
        <v>823</v>
      </c>
      <c r="J127" s="97" t="s">
        <v>537</v>
      </c>
    </row>
    <row r="128" spans="4:10" ht="34.5">
      <c r="D128" s="100" t="s">
        <v>2990</v>
      </c>
      <c r="E128" s="98" t="s">
        <v>2991</v>
      </c>
      <c r="F128" s="98" t="s">
        <v>2992</v>
      </c>
      <c r="G128" s="98" t="s">
        <v>2993</v>
      </c>
      <c r="H128" s="98" t="s">
        <v>2994</v>
      </c>
      <c r="I128" s="98" t="s">
        <v>2995</v>
      </c>
      <c r="J128" s="101" t="s">
        <v>2414</v>
      </c>
    </row>
    <row r="129" spans="1:10" ht="34.5">
      <c r="D129" s="100" t="s">
        <v>2996</v>
      </c>
      <c r="E129" s="98" t="s">
        <v>2997</v>
      </c>
      <c r="F129" s="98" t="s">
        <v>2998</v>
      </c>
      <c r="G129" s="98" t="s">
        <v>2999</v>
      </c>
      <c r="H129" s="98" t="s">
        <v>3000</v>
      </c>
      <c r="I129" s="98" t="s">
        <v>3001</v>
      </c>
      <c r="J129" s="101" t="s">
        <v>2414</v>
      </c>
    </row>
    <row r="130" spans="1:10" ht="34.5">
      <c r="D130" s="100" t="s">
        <v>3002</v>
      </c>
      <c r="E130" s="98" t="s">
        <v>3003</v>
      </c>
      <c r="F130" s="98" t="s">
        <v>3004</v>
      </c>
      <c r="G130" s="98" t="s">
        <v>3005</v>
      </c>
      <c r="H130" s="98" t="s">
        <v>3006</v>
      </c>
      <c r="I130" s="98" t="s">
        <v>3007</v>
      </c>
      <c r="J130" s="101" t="s">
        <v>2414</v>
      </c>
    </row>
    <row r="131" spans="1:10" ht="23.1">
      <c r="D131" s="100" t="s">
        <v>3008</v>
      </c>
      <c r="E131" s="98" t="s">
        <v>3009</v>
      </c>
      <c r="F131" s="98" t="s">
        <v>3010</v>
      </c>
      <c r="G131" s="98" t="s">
        <v>3011</v>
      </c>
      <c r="H131" s="98" t="s">
        <v>3012</v>
      </c>
      <c r="I131" s="98" t="s">
        <v>3013</v>
      </c>
      <c r="J131" s="101" t="s">
        <v>2414</v>
      </c>
    </row>
    <row r="132" spans="1:10" ht="23.1">
      <c r="D132" s="100" t="s">
        <v>3014</v>
      </c>
      <c r="E132" s="98" t="s">
        <v>3015</v>
      </c>
      <c r="F132" s="98" t="s">
        <v>3016</v>
      </c>
      <c r="G132" s="98" t="s">
        <v>3017</v>
      </c>
      <c r="H132" s="98" t="s">
        <v>3018</v>
      </c>
      <c r="I132" s="98" t="s">
        <v>3019</v>
      </c>
      <c r="J132" s="101" t="s">
        <v>2414</v>
      </c>
    </row>
    <row r="133" spans="1:10" ht="23.1">
      <c r="D133" s="100" t="s">
        <v>3020</v>
      </c>
      <c r="E133" s="98" t="s">
        <v>3021</v>
      </c>
      <c r="F133" s="98" t="s">
        <v>3022</v>
      </c>
      <c r="G133" s="98" t="s">
        <v>3023</v>
      </c>
      <c r="H133" s="98" t="s">
        <v>3024</v>
      </c>
      <c r="I133" s="98" t="s">
        <v>3025</v>
      </c>
      <c r="J133" s="101" t="s">
        <v>2414</v>
      </c>
    </row>
    <row r="135" spans="1:10">
      <c r="D135" s="328" t="s">
        <v>2437</v>
      </c>
      <c r="E135" s="328"/>
      <c r="F135" s="328"/>
      <c r="G135" s="328"/>
      <c r="H135" s="328"/>
      <c r="I135" s="328"/>
      <c r="J135" s="328"/>
    </row>
    <row r="136" spans="1:10">
      <c r="D136" s="48" t="s">
        <v>2438</v>
      </c>
      <c r="E136" s="48" t="s">
        <v>2405</v>
      </c>
      <c r="F136" s="48" t="s">
        <v>2406</v>
      </c>
      <c r="G136" s="48" t="s">
        <v>2407</v>
      </c>
      <c r="H136" s="48" t="s">
        <v>917</v>
      </c>
      <c r="I136" s="48" t="s">
        <v>823</v>
      </c>
      <c r="J136" s="48" t="s">
        <v>537</v>
      </c>
    </row>
    <row r="137" spans="1:10" ht="30.95">
      <c r="D137" s="48" t="s">
        <v>3026</v>
      </c>
      <c r="E137" s="48" t="s">
        <v>3027</v>
      </c>
      <c r="F137" s="48" t="s">
        <v>3028</v>
      </c>
      <c r="G137" s="48" t="s">
        <v>3029</v>
      </c>
      <c r="H137" s="48" t="s">
        <v>3030</v>
      </c>
      <c r="I137" s="48" t="s">
        <v>3031</v>
      </c>
      <c r="J137" s="48" t="s">
        <v>2445</v>
      </c>
    </row>
    <row r="138" spans="1:10" ht="46.5">
      <c r="D138" s="48" t="s">
        <v>3032</v>
      </c>
      <c r="E138" s="48" t="s">
        <v>3033</v>
      </c>
      <c r="F138" s="48" t="s">
        <v>3034</v>
      </c>
      <c r="G138" s="48" t="s">
        <v>3035</v>
      </c>
      <c r="H138" s="48" t="s">
        <v>3036</v>
      </c>
      <c r="I138" s="48" t="s">
        <v>3037</v>
      </c>
      <c r="J138" s="48" t="s">
        <v>2445</v>
      </c>
    </row>
    <row r="139" spans="1:10" ht="46.5">
      <c r="D139" s="48" t="s">
        <v>3038</v>
      </c>
      <c r="E139" s="48" t="s">
        <v>3039</v>
      </c>
      <c r="F139" s="48" t="s">
        <v>3040</v>
      </c>
      <c r="G139" s="48" t="s">
        <v>3041</v>
      </c>
      <c r="H139" s="48" t="s">
        <v>3042</v>
      </c>
      <c r="I139" s="48" t="s">
        <v>3043</v>
      </c>
      <c r="J139" s="48" t="s">
        <v>2445</v>
      </c>
    </row>
    <row r="140" spans="1:10" ht="46.5">
      <c r="D140" s="48" t="s">
        <v>3044</v>
      </c>
      <c r="E140" s="48" t="s">
        <v>3045</v>
      </c>
      <c r="F140" s="48" t="s">
        <v>3046</v>
      </c>
      <c r="G140" s="48" t="s">
        <v>3047</v>
      </c>
      <c r="H140" s="48" t="s">
        <v>3048</v>
      </c>
      <c r="I140" s="48" t="s">
        <v>3049</v>
      </c>
      <c r="J140" s="48" t="s">
        <v>2445</v>
      </c>
    </row>
    <row r="141" spans="1:10" ht="30.95">
      <c r="D141" s="48" t="s">
        <v>3050</v>
      </c>
      <c r="E141" s="48" t="s">
        <v>3051</v>
      </c>
      <c r="F141" s="48" t="s">
        <v>3052</v>
      </c>
      <c r="G141" s="48" t="s">
        <v>3053</v>
      </c>
      <c r="H141" s="48" t="s">
        <v>3054</v>
      </c>
      <c r="I141" s="48" t="s">
        <v>3055</v>
      </c>
      <c r="J141" s="48" t="s">
        <v>2445</v>
      </c>
    </row>
    <row r="142" spans="1:10" ht="46.5">
      <c r="D142" s="48" t="s">
        <v>3056</v>
      </c>
      <c r="E142" s="48" t="s">
        <v>3057</v>
      </c>
      <c r="F142" s="48" t="s">
        <v>3058</v>
      </c>
      <c r="G142" s="48" t="s">
        <v>3059</v>
      </c>
      <c r="H142" s="48" t="s">
        <v>3060</v>
      </c>
      <c r="I142" s="48" t="s">
        <v>3061</v>
      </c>
      <c r="J142" s="48" t="s">
        <v>2445</v>
      </c>
    </row>
    <row r="144" spans="1:10">
      <c r="A144" s="355" t="s">
        <v>2446</v>
      </c>
      <c r="B144" s="358"/>
      <c r="C144" s="358"/>
      <c r="D144" s="358"/>
      <c r="E144" s="358"/>
      <c r="F144" s="358"/>
      <c r="G144" s="358"/>
      <c r="H144" s="358"/>
      <c r="I144" s="358"/>
      <c r="J144" s="358"/>
    </row>
    <row r="145" spans="1:10" ht="30.95">
      <c r="A145" s="286" t="s">
        <v>2008</v>
      </c>
      <c r="B145" s="286" t="s">
        <v>2009</v>
      </c>
      <c r="C145" s="286"/>
      <c r="D145" s="286" t="s">
        <v>2010</v>
      </c>
      <c r="E145" s="286"/>
      <c r="F145" s="286" t="s">
        <v>2011</v>
      </c>
      <c r="G145" s="286"/>
      <c r="H145" s="286" t="s">
        <v>2012</v>
      </c>
      <c r="I145" s="286"/>
      <c r="J145" s="286" t="s">
        <v>2013</v>
      </c>
    </row>
    <row r="146" spans="1:10" ht="186">
      <c r="A146" s="287" t="s">
        <v>831</v>
      </c>
      <c r="B146" s="287" t="s">
        <v>2047</v>
      </c>
      <c r="C146" s="287"/>
      <c r="D146" s="287" t="s">
        <v>2048</v>
      </c>
      <c r="E146" s="287"/>
      <c r="F146" s="287" t="s">
        <v>2049</v>
      </c>
      <c r="G146" s="287"/>
      <c r="H146" s="287" t="s">
        <v>2050</v>
      </c>
      <c r="I146" s="287"/>
      <c r="J146" s="287" t="s">
        <v>962</v>
      </c>
    </row>
  </sheetData>
  <mergeCells count="3">
    <mergeCell ref="D126:J126"/>
    <mergeCell ref="D135:J135"/>
    <mergeCell ref="A144:J144"/>
  </mergeCells>
  <pageMargins left="0.7" right="0.7" top="0.75" bottom="0.75" header="0.3" footer="0.3"/>
  <pageSetup orientation="portrait" r:id="rId1"/>
  <headerFooter>
    <oddFooter>&amp;L_x000D_&amp;1#&amp;"Aptos"&amp;10&amp;K000000 Confidential-Internal</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DD97C-797A-422F-94D0-FE44A0AF9915}">
  <dimension ref="A1:O193"/>
  <sheetViews>
    <sheetView topLeftCell="D148" workbookViewId="0">
      <selection activeCell="I11" sqref="I11:J11"/>
    </sheetView>
  </sheetViews>
  <sheetFormatPr defaultRowHeight="14.45"/>
  <cols>
    <col min="3" max="3" width="25.85546875" customWidth="1"/>
    <col min="4" max="4" width="24.5703125" customWidth="1"/>
    <col min="5" max="5" width="34.5703125" customWidth="1"/>
    <col min="6" max="6" width="36.42578125" customWidth="1"/>
    <col min="7" max="7" width="28.140625" customWidth="1"/>
    <col min="8" max="9" width="26.42578125" customWidth="1"/>
    <col min="10" max="10" width="13.5703125" customWidth="1"/>
  </cols>
  <sheetData>
    <row r="1" spans="1:12" ht="15.95" thickBot="1">
      <c r="A1" s="1" t="s">
        <v>3062</v>
      </c>
      <c r="B1" s="2"/>
      <c r="C1" s="2"/>
      <c r="D1" s="2"/>
      <c r="E1" s="2"/>
      <c r="F1" s="2"/>
      <c r="G1" s="2"/>
      <c r="H1" s="2"/>
      <c r="I1" s="2"/>
      <c r="J1" s="2"/>
      <c r="K1" s="2"/>
      <c r="L1" s="2"/>
    </row>
    <row r="2" spans="1:12" ht="15.95" thickBot="1">
      <c r="A2" s="1"/>
      <c r="B2" s="2"/>
      <c r="C2" s="6" t="s">
        <v>2192</v>
      </c>
      <c r="D2" s="22" t="s">
        <v>2193</v>
      </c>
      <c r="E2" s="6" t="s">
        <v>2194</v>
      </c>
      <c r="F2" s="7" t="s">
        <v>1626</v>
      </c>
      <c r="G2" s="7" t="s">
        <v>2195</v>
      </c>
      <c r="H2" s="7" t="s">
        <v>2196</v>
      </c>
      <c r="I2" s="7" t="s">
        <v>2299</v>
      </c>
      <c r="J2" s="7" t="s">
        <v>2198</v>
      </c>
      <c r="K2" s="23"/>
      <c r="L2" s="2"/>
    </row>
    <row r="3" spans="1:12" ht="310.5" thickBot="1">
      <c r="A3" s="3" t="s">
        <v>3063</v>
      </c>
      <c r="B3" s="3" t="s">
        <v>3064</v>
      </c>
      <c r="C3" s="49" t="s">
        <v>3065</v>
      </c>
      <c r="D3" s="3" t="s">
        <v>3066</v>
      </c>
      <c r="E3" s="1" t="s">
        <v>3067</v>
      </c>
      <c r="F3" s="5" t="s">
        <v>3068</v>
      </c>
      <c r="G3" s="5" t="s">
        <v>3069</v>
      </c>
      <c r="H3" s="5" t="s">
        <v>3070</v>
      </c>
      <c r="I3" s="5" t="s">
        <v>3071</v>
      </c>
      <c r="J3" s="5" t="s">
        <v>3072</v>
      </c>
      <c r="K3" s="2"/>
      <c r="L3" s="2"/>
    </row>
    <row r="4" spans="1:12" ht="15.95" thickBot="1">
      <c r="F4" s="5" t="s">
        <v>3073</v>
      </c>
      <c r="G4" s="5" t="s">
        <v>3074</v>
      </c>
      <c r="H4" s="5" t="s">
        <v>3075</v>
      </c>
      <c r="I4" s="5" t="s">
        <v>3076</v>
      </c>
      <c r="J4" s="5" t="s">
        <v>3077</v>
      </c>
      <c r="K4" s="2"/>
      <c r="L4" s="2"/>
    </row>
    <row r="5" spans="1:12" ht="15.95" thickBot="1">
      <c r="F5" s="5" t="s">
        <v>3078</v>
      </c>
      <c r="G5" s="5" t="s">
        <v>3079</v>
      </c>
      <c r="H5" s="5" t="s">
        <v>3080</v>
      </c>
      <c r="I5" s="5" t="s">
        <v>3081</v>
      </c>
      <c r="J5" s="5" t="s">
        <v>3082</v>
      </c>
      <c r="K5" s="2"/>
      <c r="L5" s="2"/>
    </row>
    <row r="6" spans="1:12" ht="15.95" thickBot="1">
      <c r="F6" s="5" t="s">
        <v>3083</v>
      </c>
      <c r="G6" s="5" t="s">
        <v>3084</v>
      </c>
      <c r="H6" s="5" t="s">
        <v>3085</v>
      </c>
      <c r="I6" s="5" t="s">
        <v>3086</v>
      </c>
      <c r="J6" s="5" t="s">
        <v>3087</v>
      </c>
      <c r="K6" s="2"/>
      <c r="L6" s="2"/>
    </row>
    <row r="7" spans="1:12" ht="15.95" thickBot="1">
      <c r="F7" s="5" t="s">
        <v>3088</v>
      </c>
      <c r="G7" s="5" t="s">
        <v>3089</v>
      </c>
      <c r="H7" s="5" t="s">
        <v>3090</v>
      </c>
      <c r="I7" s="5" t="s">
        <v>3091</v>
      </c>
      <c r="J7" s="5" t="s">
        <v>3092</v>
      </c>
      <c r="K7" s="2"/>
      <c r="L7" s="2"/>
    </row>
    <row r="8" spans="1:12" ht="15.95" thickBot="1">
      <c r="F8" s="5" t="s">
        <v>3093</v>
      </c>
      <c r="G8" s="5" t="s">
        <v>3094</v>
      </c>
      <c r="H8" s="5" t="s">
        <v>3095</v>
      </c>
      <c r="I8" s="5" t="s">
        <v>3096</v>
      </c>
      <c r="J8" s="5" t="s">
        <v>3097</v>
      </c>
      <c r="K8" s="2"/>
      <c r="L8" s="2"/>
    </row>
    <row r="9" spans="1:12" ht="15.95" thickBot="1">
      <c r="F9" s="5" t="s">
        <v>3098</v>
      </c>
      <c r="G9" s="5" t="s">
        <v>3099</v>
      </c>
      <c r="H9" s="5" t="s">
        <v>3100</v>
      </c>
      <c r="I9" s="5" t="s">
        <v>3101</v>
      </c>
      <c r="J9" s="5" t="s">
        <v>3102</v>
      </c>
      <c r="K9" s="2"/>
      <c r="L9" s="2"/>
    </row>
    <row r="10" spans="1:12" ht="15.95" thickBot="1">
      <c r="F10" s="5" t="s">
        <v>3103</v>
      </c>
      <c r="G10" s="5" t="s">
        <v>3104</v>
      </c>
      <c r="H10" s="5" t="s">
        <v>3105</v>
      </c>
      <c r="I10" s="5" t="s">
        <v>3106</v>
      </c>
      <c r="J10" s="5" t="s">
        <v>3107</v>
      </c>
      <c r="K10" s="2"/>
      <c r="L10" s="2"/>
    </row>
    <row r="11" spans="1:12" ht="15.95" thickBot="1">
      <c r="F11" s="5" t="s">
        <v>3108</v>
      </c>
      <c r="G11" s="5" t="s">
        <v>3109</v>
      </c>
      <c r="H11" s="5" t="s">
        <v>2752</v>
      </c>
      <c r="I11" s="5" t="s">
        <v>3110</v>
      </c>
      <c r="J11" s="5" t="s">
        <v>3111</v>
      </c>
      <c r="K11" s="2"/>
      <c r="L11" s="2"/>
    </row>
    <row r="12" spans="1:12" ht="15.95" thickBot="1">
      <c r="F12" s="5" t="s">
        <v>3112</v>
      </c>
      <c r="G12" s="5" t="s">
        <v>3113</v>
      </c>
      <c r="H12" s="5" t="s">
        <v>3114</v>
      </c>
      <c r="I12" s="5" t="s">
        <v>3115</v>
      </c>
      <c r="J12" s="5" t="s">
        <v>3116</v>
      </c>
      <c r="K12" s="2"/>
      <c r="L12" s="2"/>
    </row>
    <row r="13" spans="1:12" ht="15.95" thickBot="1">
      <c r="D13" s="3" t="s">
        <v>3117</v>
      </c>
      <c r="F13" s="7" t="s">
        <v>2265</v>
      </c>
      <c r="G13" s="7" t="s">
        <v>143</v>
      </c>
      <c r="H13" s="7" t="s">
        <v>3118</v>
      </c>
      <c r="I13" s="2"/>
      <c r="J13" s="2"/>
      <c r="K13" s="2"/>
      <c r="L13" s="2"/>
    </row>
    <row r="14" spans="1:12" ht="15.95" thickBot="1">
      <c r="F14" s="5" t="s">
        <v>3119</v>
      </c>
      <c r="G14" s="5" t="s">
        <v>3120</v>
      </c>
      <c r="H14" s="5" t="s">
        <v>2056</v>
      </c>
      <c r="I14" s="2"/>
      <c r="J14" s="2"/>
      <c r="K14" s="2"/>
      <c r="L14" s="2"/>
    </row>
    <row r="15" spans="1:12" ht="15.95" thickBot="1">
      <c r="A15" s="2"/>
      <c r="B15" s="2"/>
      <c r="C15" s="2"/>
      <c r="D15" s="2"/>
      <c r="E15" s="2"/>
      <c r="F15" s="5" t="s">
        <v>3121</v>
      </c>
      <c r="G15" s="5" t="s">
        <v>3122</v>
      </c>
      <c r="H15" s="5" t="s">
        <v>2059</v>
      </c>
      <c r="I15" s="2"/>
      <c r="J15" s="2"/>
      <c r="K15" s="2"/>
      <c r="L15" s="2"/>
    </row>
    <row r="16" spans="1:12" ht="15.95" thickBot="1">
      <c r="A16" s="1"/>
      <c r="B16" s="2"/>
      <c r="C16" s="2"/>
      <c r="D16" s="2"/>
      <c r="E16" s="2"/>
      <c r="F16" s="5" t="s">
        <v>1443</v>
      </c>
      <c r="G16" s="5" t="s">
        <v>1444</v>
      </c>
      <c r="H16" s="5" t="s">
        <v>1074</v>
      </c>
      <c r="I16" s="2"/>
      <c r="J16" s="2"/>
      <c r="K16" s="2"/>
      <c r="L16" s="2"/>
    </row>
    <row r="17" spans="1:12" ht="15.95" thickBot="1">
      <c r="B17" s="2"/>
      <c r="C17" s="2"/>
      <c r="D17" s="2"/>
      <c r="E17" s="2"/>
      <c r="F17" s="5" t="s">
        <v>469</v>
      </c>
      <c r="G17" s="5" t="s">
        <v>3123</v>
      </c>
      <c r="H17" s="19">
        <v>-0.25</v>
      </c>
      <c r="I17" s="2"/>
      <c r="J17" s="2"/>
      <c r="K17" s="2"/>
      <c r="L17" s="2"/>
    </row>
    <row r="18" spans="1:12" ht="15.95" thickBot="1">
      <c r="A18" s="1"/>
      <c r="B18" s="2"/>
      <c r="C18" s="2"/>
      <c r="D18" s="2"/>
      <c r="E18" s="2"/>
      <c r="F18" s="5" t="s">
        <v>1420</v>
      </c>
      <c r="G18" s="5" t="s">
        <v>3124</v>
      </c>
      <c r="H18" s="5" t="s">
        <v>3125</v>
      </c>
      <c r="I18" s="2"/>
      <c r="J18" s="2"/>
      <c r="K18" s="2"/>
      <c r="L18" s="2"/>
    </row>
    <row r="19" spans="1:12" ht="15.95" thickBot="1">
      <c r="D19" s="2"/>
      <c r="E19" s="2"/>
      <c r="F19" s="5" t="s">
        <v>3126</v>
      </c>
      <c r="G19" s="5" t="s">
        <v>3127</v>
      </c>
      <c r="H19" s="5" t="s">
        <v>1074</v>
      </c>
      <c r="I19" s="2"/>
      <c r="J19" s="2"/>
      <c r="K19" s="2"/>
      <c r="L19" s="2"/>
    </row>
    <row r="20" spans="1:12" ht="15.95" thickBot="1">
      <c r="D20" s="2"/>
      <c r="E20" s="2"/>
      <c r="F20" s="5" t="s">
        <v>3128</v>
      </c>
      <c r="G20" s="5" t="s">
        <v>3129</v>
      </c>
      <c r="H20" s="5" t="s">
        <v>1074</v>
      </c>
      <c r="I20" s="2"/>
      <c r="J20" s="2"/>
      <c r="K20" s="2"/>
      <c r="L20" s="2"/>
    </row>
    <row r="21" spans="1:12" ht="15.95" thickBot="1">
      <c r="D21" s="2"/>
      <c r="E21" s="2"/>
      <c r="F21" s="5" t="s">
        <v>3130</v>
      </c>
      <c r="G21" s="5" t="s">
        <v>3131</v>
      </c>
      <c r="H21" s="5" t="s">
        <v>1060</v>
      </c>
      <c r="I21" s="2"/>
      <c r="J21" s="2"/>
      <c r="K21" s="2"/>
      <c r="L21" s="2"/>
    </row>
    <row r="22" spans="1:12" ht="15.95" thickBot="1">
      <c r="D22" s="2"/>
      <c r="E22" s="2"/>
      <c r="F22" s="5" t="s">
        <v>3132</v>
      </c>
      <c r="G22" s="5" t="s">
        <v>3133</v>
      </c>
      <c r="H22" s="5" t="s">
        <v>1047</v>
      </c>
      <c r="I22" s="2"/>
      <c r="J22" s="2"/>
      <c r="K22" s="2"/>
      <c r="L22" s="2"/>
    </row>
    <row r="23" spans="1:12" ht="15.95" thickBot="1">
      <c r="D23" s="2"/>
      <c r="E23" s="2"/>
      <c r="F23" s="5" t="s">
        <v>510</v>
      </c>
      <c r="G23" s="5" t="s">
        <v>3134</v>
      </c>
      <c r="H23" s="5" t="s">
        <v>3135</v>
      </c>
      <c r="I23" s="2"/>
      <c r="J23" s="2"/>
      <c r="K23" s="2"/>
      <c r="L23" s="2"/>
    </row>
    <row r="24" spans="1:12" ht="15.95" thickBot="1">
      <c r="D24" s="3" t="s">
        <v>3136</v>
      </c>
      <c r="E24" s="2"/>
      <c r="F24" s="7" t="s">
        <v>2281</v>
      </c>
      <c r="G24" s="7" t="s">
        <v>2282</v>
      </c>
      <c r="H24" s="7" t="s">
        <v>2283</v>
      </c>
      <c r="I24" s="2"/>
      <c r="J24" s="2"/>
      <c r="K24" s="2"/>
      <c r="L24" s="2"/>
    </row>
    <row r="25" spans="1:12" ht="15.95" thickBot="1">
      <c r="D25" s="2"/>
      <c r="E25" s="2"/>
      <c r="F25" s="5" t="s">
        <v>2063</v>
      </c>
      <c r="G25" s="5" t="s">
        <v>1012</v>
      </c>
      <c r="H25" s="5" t="s">
        <v>3137</v>
      </c>
      <c r="I25" s="2"/>
      <c r="J25" s="2"/>
      <c r="K25" s="2"/>
      <c r="L25" s="2"/>
    </row>
    <row r="26" spans="1:12" ht="15.95" thickBot="1">
      <c r="D26" s="2"/>
      <c r="E26" s="2"/>
      <c r="F26" s="5" t="s">
        <v>3138</v>
      </c>
      <c r="G26" s="5" t="s">
        <v>2290</v>
      </c>
      <c r="H26" s="5" t="s">
        <v>3139</v>
      </c>
      <c r="I26" s="2"/>
      <c r="J26" s="2"/>
      <c r="K26" s="2"/>
      <c r="L26" s="2"/>
    </row>
    <row r="27" spans="1:12" ht="15.95" thickBot="1">
      <c r="D27" s="2"/>
      <c r="E27" s="2"/>
      <c r="F27" s="5" t="s">
        <v>3140</v>
      </c>
      <c r="G27" s="5" t="s">
        <v>1012</v>
      </c>
      <c r="H27" s="5" t="s">
        <v>3141</v>
      </c>
      <c r="I27" s="2"/>
      <c r="J27" s="2"/>
      <c r="K27" s="2"/>
      <c r="L27" s="2"/>
    </row>
    <row r="28" spans="1:12" ht="15.95" thickBot="1">
      <c r="D28" s="2"/>
      <c r="E28" s="2"/>
      <c r="F28" s="5" t="s">
        <v>3142</v>
      </c>
      <c r="G28" s="5" t="s">
        <v>1012</v>
      </c>
      <c r="H28" s="5" t="s">
        <v>3143</v>
      </c>
      <c r="I28" s="2"/>
      <c r="J28" s="2"/>
      <c r="K28" s="2"/>
      <c r="L28" s="2"/>
    </row>
    <row r="29" spans="1:12" ht="15.95" thickBot="1">
      <c r="D29" s="2"/>
      <c r="E29" s="2"/>
      <c r="F29" s="5" t="s">
        <v>3144</v>
      </c>
      <c r="G29" s="5" t="s">
        <v>2290</v>
      </c>
      <c r="H29" s="5" t="s">
        <v>3145</v>
      </c>
      <c r="I29" s="2"/>
      <c r="J29" s="2"/>
      <c r="K29" s="2"/>
      <c r="L29" s="2"/>
    </row>
    <row r="30" spans="1:12" ht="15.95" thickBot="1">
      <c r="A30" s="2"/>
      <c r="B30" s="2"/>
      <c r="C30" s="2"/>
      <c r="D30" s="2"/>
      <c r="E30" s="2"/>
      <c r="F30" s="5" t="s">
        <v>3146</v>
      </c>
      <c r="G30" s="5" t="s">
        <v>1012</v>
      </c>
      <c r="H30" s="5" t="s">
        <v>3147</v>
      </c>
      <c r="I30" s="2"/>
      <c r="J30" s="2"/>
      <c r="K30" s="2"/>
      <c r="L30" s="2"/>
    </row>
    <row r="31" spans="1:12" ht="15.95" thickBot="1">
      <c r="A31" s="1"/>
      <c r="B31" s="2"/>
      <c r="C31" s="2"/>
      <c r="D31" s="2"/>
      <c r="E31" s="2"/>
      <c r="F31" s="5" t="s">
        <v>3148</v>
      </c>
      <c r="G31" s="5" t="s">
        <v>2290</v>
      </c>
      <c r="H31" s="5" t="s">
        <v>3149</v>
      </c>
      <c r="I31" s="2"/>
      <c r="J31" s="2"/>
      <c r="K31" s="2"/>
      <c r="L31" s="2"/>
    </row>
    <row r="32" spans="1:12" ht="15.95" thickBot="1">
      <c r="B32" s="2"/>
      <c r="C32" s="2"/>
      <c r="D32" s="2"/>
      <c r="E32" s="2"/>
      <c r="F32" s="5" t="s">
        <v>3150</v>
      </c>
      <c r="G32" s="5" t="s">
        <v>1012</v>
      </c>
      <c r="H32" s="5" t="s">
        <v>3151</v>
      </c>
      <c r="I32" s="2"/>
      <c r="J32" s="2"/>
      <c r="K32" s="2"/>
      <c r="L32" s="2"/>
    </row>
    <row r="33" spans="1:12" ht="15.95" thickBot="1">
      <c r="A33" s="1"/>
      <c r="B33" s="2"/>
      <c r="E33" s="6" t="s">
        <v>2194</v>
      </c>
      <c r="F33" s="7" t="s">
        <v>1626</v>
      </c>
      <c r="G33" s="7" t="s">
        <v>2195</v>
      </c>
      <c r="H33" s="7" t="s">
        <v>2196</v>
      </c>
      <c r="I33" s="7" t="s">
        <v>2299</v>
      </c>
      <c r="J33" s="7" t="s">
        <v>2198</v>
      </c>
      <c r="L33" s="2"/>
    </row>
    <row r="34" spans="1:12" ht="15.95" thickBot="1">
      <c r="D34" s="3" t="s">
        <v>3152</v>
      </c>
      <c r="E34" s="1" t="s">
        <v>3153</v>
      </c>
      <c r="F34" s="5" t="s">
        <v>3154</v>
      </c>
      <c r="G34" s="5" t="s">
        <v>3155</v>
      </c>
      <c r="H34" s="5" t="s">
        <v>3156</v>
      </c>
      <c r="I34" s="5" t="s">
        <v>3157</v>
      </c>
      <c r="J34" s="5" t="s">
        <v>3158</v>
      </c>
      <c r="L34" s="2"/>
    </row>
    <row r="35" spans="1:12" ht="15.95" thickBot="1">
      <c r="D35" s="2"/>
      <c r="F35" s="5" t="s">
        <v>3159</v>
      </c>
      <c r="G35" s="5" t="s">
        <v>3160</v>
      </c>
      <c r="H35" s="5" t="s">
        <v>3161</v>
      </c>
      <c r="I35" s="5" t="s">
        <v>3162</v>
      </c>
      <c r="J35" s="5" t="s">
        <v>3163</v>
      </c>
      <c r="L35" s="2"/>
    </row>
    <row r="36" spans="1:12" ht="15.95" thickBot="1">
      <c r="D36" s="2"/>
      <c r="E36" s="2"/>
      <c r="F36" s="5" t="s">
        <v>3164</v>
      </c>
      <c r="G36" s="5" t="s">
        <v>3165</v>
      </c>
      <c r="H36" s="5" t="s">
        <v>3166</v>
      </c>
      <c r="I36" s="5" t="s">
        <v>3167</v>
      </c>
      <c r="J36" s="5" t="s">
        <v>3168</v>
      </c>
      <c r="L36" s="2"/>
    </row>
    <row r="37" spans="1:12" ht="15.95" thickBot="1">
      <c r="D37" s="2"/>
      <c r="E37" s="2"/>
      <c r="F37" s="5" t="s">
        <v>3169</v>
      </c>
      <c r="G37" s="5" t="s">
        <v>3170</v>
      </c>
      <c r="H37" s="5" t="s">
        <v>3171</v>
      </c>
      <c r="I37" s="5" t="s">
        <v>3172</v>
      </c>
      <c r="J37" s="5" t="s">
        <v>3173</v>
      </c>
      <c r="L37" s="2"/>
    </row>
    <row r="38" spans="1:12" ht="15.95" thickBot="1">
      <c r="D38" s="2"/>
      <c r="E38" s="2"/>
      <c r="F38" s="5" t="s">
        <v>3174</v>
      </c>
      <c r="G38" s="5" t="s">
        <v>3175</v>
      </c>
      <c r="H38" s="5" t="s">
        <v>3176</v>
      </c>
      <c r="I38" s="5" t="s">
        <v>3177</v>
      </c>
      <c r="J38" s="5" t="s">
        <v>3178</v>
      </c>
      <c r="L38" s="2"/>
    </row>
    <row r="39" spans="1:12" ht="15.95" thickBot="1">
      <c r="D39" s="2"/>
      <c r="E39" s="2"/>
      <c r="F39" s="5" t="s">
        <v>3179</v>
      </c>
      <c r="G39" s="5" t="s">
        <v>3180</v>
      </c>
      <c r="H39" s="5" t="s">
        <v>3181</v>
      </c>
      <c r="I39" s="5" t="s">
        <v>3182</v>
      </c>
      <c r="J39" s="5" t="s">
        <v>3183</v>
      </c>
      <c r="L39" s="2"/>
    </row>
    <row r="40" spans="1:12" ht="15.95" thickBot="1">
      <c r="D40" s="2"/>
      <c r="E40" s="2"/>
      <c r="F40" s="5" t="s">
        <v>3184</v>
      </c>
      <c r="G40" s="5" t="s">
        <v>3185</v>
      </c>
      <c r="H40" s="5" t="s">
        <v>3186</v>
      </c>
      <c r="I40" s="5" t="s">
        <v>3187</v>
      </c>
      <c r="J40" s="5" t="s">
        <v>3188</v>
      </c>
      <c r="L40" s="2"/>
    </row>
    <row r="41" spans="1:12" ht="15.95" thickBot="1">
      <c r="D41" s="2"/>
      <c r="E41" s="2"/>
      <c r="F41" s="5" t="s">
        <v>3189</v>
      </c>
      <c r="G41" s="5" t="s">
        <v>3190</v>
      </c>
      <c r="H41" s="5" t="s">
        <v>3191</v>
      </c>
      <c r="I41" s="5" t="s">
        <v>3192</v>
      </c>
      <c r="J41" s="5" t="s">
        <v>3193</v>
      </c>
      <c r="L41" s="2"/>
    </row>
    <row r="42" spans="1:12" ht="15.95" thickBot="1">
      <c r="D42" s="2"/>
      <c r="E42" s="2"/>
      <c r="F42" s="5" t="s">
        <v>3194</v>
      </c>
      <c r="G42" s="5" t="s">
        <v>3195</v>
      </c>
      <c r="H42" s="5" t="s">
        <v>3196</v>
      </c>
      <c r="I42" s="5" t="s">
        <v>3197</v>
      </c>
      <c r="J42" s="5" t="s">
        <v>3198</v>
      </c>
      <c r="L42" s="2"/>
    </row>
    <row r="43" spans="1:12" ht="15.95" thickBot="1">
      <c r="A43" s="2"/>
      <c r="B43" s="2"/>
      <c r="C43" s="2"/>
      <c r="D43" s="2"/>
      <c r="E43" s="2"/>
      <c r="F43" s="5" t="s">
        <v>3199</v>
      </c>
      <c r="G43" s="5" t="s">
        <v>3200</v>
      </c>
      <c r="H43" s="5" t="s">
        <v>3201</v>
      </c>
      <c r="I43" s="5" t="s">
        <v>3202</v>
      </c>
      <c r="J43" s="5" t="s">
        <v>3203</v>
      </c>
      <c r="L43" s="2"/>
    </row>
    <row r="44" spans="1:12" ht="15.95" thickBot="1">
      <c r="B44" s="2"/>
      <c r="C44" s="2"/>
      <c r="D44" s="3" t="s">
        <v>3204</v>
      </c>
      <c r="E44" s="2"/>
      <c r="F44" s="7" t="s">
        <v>2265</v>
      </c>
      <c r="G44" s="7" t="s">
        <v>143</v>
      </c>
      <c r="H44" s="7" t="s">
        <v>3205</v>
      </c>
      <c r="J44" s="2"/>
      <c r="K44" s="2"/>
      <c r="L44" s="2"/>
    </row>
    <row r="45" spans="1:12" ht="15.95" thickBot="1">
      <c r="A45" s="1"/>
      <c r="B45" s="2"/>
      <c r="C45" s="2"/>
      <c r="D45" s="2"/>
      <c r="E45" s="2"/>
      <c r="F45" s="5" t="s">
        <v>1420</v>
      </c>
      <c r="G45" s="5" t="s">
        <v>3206</v>
      </c>
      <c r="H45" s="19">
        <v>-0.2</v>
      </c>
      <c r="J45" s="2"/>
      <c r="K45" s="2"/>
      <c r="L45" s="2"/>
    </row>
    <row r="46" spans="1:12" ht="15.95" thickBot="1">
      <c r="D46" s="2"/>
      <c r="E46" s="2"/>
      <c r="F46" s="5" t="s">
        <v>3207</v>
      </c>
      <c r="G46" s="5" t="s">
        <v>1899</v>
      </c>
      <c r="H46" s="19">
        <v>0.15</v>
      </c>
      <c r="J46" s="2"/>
      <c r="K46" s="2"/>
      <c r="L46" s="2"/>
    </row>
    <row r="47" spans="1:12" ht="15.95" thickBot="1">
      <c r="D47" s="2"/>
      <c r="E47" s="2"/>
      <c r="F47" s="5" t="s">
        <v>1644</v>
      </c>
      <c r="G47" s="5" t="s">
        <v>1699</v>
      </c>
      <c r="H47" s="19">
        <v>0.1</v>
      </c>
      <c r="J47" s="2"/>
      <c r="K47" s="2"/>
      <c r="L47" s="2"/>
    </row>
    <row r="48" spans="1:12" ht="15.95" thickBot="1">
      <c r="D48" s="2"/>
      <c r="E48" s="2"/>
      <c r="F48" s="5" t="s">
        <v>3208</v>
      </c>
      <c r="G48" s="5" t="s">
        <v>3209</v>
      </c>
      <c r="H48" s="19">
        <v>0.15</v>
      </c>
      <c r="J48" s="2"/>
      <c r="K48" s="2"/>
      <c r="L48" s="2"/>
    </row>
    <row r="49" spans="1:12" ht="15.95" thickBot="1">
      <c r="D49" s="2"/>
      <c r="E49" s="2"/>
      <c r="F49" s="5" t="s">
        <v>3128</v>
      </c>
      <c r="G49" s="5" t="s">
        <v>3210</v>
      </c>
      <c r="H49" s="19">
        <v>-0.3</v>
      </c>
      <c r="J49" s="2"/>
      <c r="K49" s="2"/>
      <c r="L49" s="2"/>
    </row>
    <row r="50" spans="1:12" ht="15.95" thickBot="1">
      <c r="D50" s="2"/>
      <c r="E50" s="2"/>
      <c r="F50" s="5" t="s">
        <v>3211</v>
      </c>
      <c r="G50" s="5" t="s">
        <v>3212</v>
      </c>
      <c r="H50" s="19">
        <v>-0.2</v>
      </c>
      <c r="J50" s="2"/>
      <c r="K50" s="2"/>
      <c r="L50" s="2"/>
    </row>
    <row r="51" spans="1:12" ht="15.95" thickBot="1">
      <c r="D51" s="2"/>
      <c r="E51" s="2"/>
      <c r="F51" s="5" t="s">
        <v>510</v>
      </c>
      <c r="G51" s="5" t="s">
        <v>3213</v>
      </c>
      <c r="H51" s="5" t="s">
        <v>1052</v>
      </c>
      <c r="J51" s="2"/>
      <c r="K51" s="2"/>
      <c r="L51" s="2"/>
    </row>
    <row r="52" spans="1:12" ht="15.95" thickBot="1">
      <c r="D52" s="2"/>
      <c r="E52" s="2"/>
      <c r="F52" s="5" t="s">
        <v>3214</v>
      </c>
      <c r="G52" s="5" t="s">
        <v>3215</v>
      </c>
      <c r="H52" s="5" t="s">
        <v>2023</v>
      </c>
      <c r="J52" s="2"/>
      <c r="K52" s="2"/>
      <c r="L52" s="2"/>
    </row>
    <row r="53" spans="1:12" ht="15.95" thickBot="1">
      <c r="D53" s="2"/>
      <c r="E53" s="2"/>
      <c r="F53" s="5" t="s">
        <v>1426</v>
      </c>
      <c r="G53" s="5" t="s">
        <v>3216</v>
      </c>
      <c r="H53" s="19">
        <v>-0.2</v>
      </c>
      <c r="J53" s="2"/>
      <c r="K53" s="2"/>
      <c r="L53" s="2"/>
    </row>
    <row r="54" spans="1:12" ht="15.95" thickBot="1">
      <c r="D54" s="2"/>
      <c r="E54" s="2"/>
      <c r="F54" s="5" t="s">
        <v>3217</v>
      </c>
      <c r="G54" s="5" t="s">
        <v>3218</v>
      </c>
      <c r="H54" s="19">
        <v>0.1</v>
      </c>
      <c r="J54" s="2"/>
      <c r="K54" s="2"/>
      <c r="L54" s="2"/>
    </row>
    <row r="55" spans="1:12" ht="15.95" thickBot="1">
      <c r="D55" s="3" t="s">
        <v>3219</v>
      </c>
      <c r="E55" s="2"/>
      <c r="F55" s="7" t="s">
        <v>2281</v>
      </c>
      <c r="G55" s="7" t="s">
        <v>2282</v>
      </c>
      <c r="H55" s="7" t="s">
        <v>2283</v>
      </c>
      <c r="I55" s="2"/>
      <c r="J55" s="2"/>
      <c r="K55" s="2"/>
      <c r="L55" s="2"/>
    </row>
    <row r="56" spans="1:12" ht="15.95" thickBot="1">
      <c r="D56" s="2"/>
      <c r="E56" s="2"/>
      <c r="F56" s="5" t="s">
        <v>3220</v>
      </c>
      <c r="G56" s="5" t="s">
        <v>1012</v>
      </c>
      <c r="H56" s="5" t="s">
        <v>3221</v>
      </c>
      <c r="I56" s="2"/>
      <c r="J56" s="2"/>
      <c r="K56" s="2"/>
      <c r="L56" s="2"/>
    </row>
    <row r="57" spans="1:12" ht="15.95" thickBot="1">
      <c r="D57" s="2"/>
      <c r="E57" s="2"/>
      <c r="F57" s="5" t="s">
        <v>3222</v>
      </c>
      <c r="G57" s="5" t="s">
        <v>1012</v>
      </c>
      <c r="H57" s="5" t="s">
        <v>3223</v>
      </c>
      <c r="I57" s="2"/>
      <c r="J57" s="2"/>
      <c r="K57" s="2"/>
      <c r="L57" s="2"/>
    </row>
    <row r="58" spans="1:12" ht="15.95" thickBot="1">
      <c r="A58" s="1"/>
      <c r="B58" s="2"/>
      <c r="C58" s="2"/>
      <c r="D58" s="2"/>
      <c r="E58" s="2"/>
      <c r="F58" s="5" t="s">
        <v>3224</v>
      </c>
      <c r="G58" s="5" t="s">
        <v>1012</v>
      </c>
      <c r="H58" s="5" t="s">
        <v>3225</v>
      </c>
      <c r="I58" s="2"/>
      <c r="J58" s="2"/>
      <c r="K58" s="2"/>
      <c r="L58" s="2"/>
    </row>
    <row r="59" spans="1:12" ht="15.95" thickBot="1">
      <c r="D59" s="2"/>
      <c r="E59" s="2"/>
      <c r="F59" s="5" t="s">
        <v>3226</v>
      </c>
      <c r="G59" s="5" t="s">
        <v>2290</v>
      </c>
      <c r="H59" s="5" t="s">
        <v>3227</v>
      </c>
      <c r="I59" s="2"/>
      <c r="J59" s="2"/>
      <c r="K59" s="2"/>
      <c r="L59" s="2"/>
    </row>
    <row r="60" spans="1:12" ht="15.95" thickBot="1">
      <c r="A60" s="1"/>
      <c r="B60" s="2"/>
      <c r="C60" s="2"/>
      <c r="D60" s="2"/>
      <c r="E60" s="2"/>
      <c r="F60" s="5" t="s">
        <v>3228</v>
      </c>
      <c r="G60" s="5" t="s">
        <v>1012</v>
      </c>
      <c r="H60" s="5" t="s">
        <v>3229</v>
      </c>
      <c r="I60" s="2"/>
      <c r="J60" s="2"/>
      <c r="K60" s="2"/>
      <c r="L60" s="2"/>
    </row>
    <row r="61" spans="1:12" ht="15.95" thickBot="1">
      <c r="D61" s="2"/>
      <c r="E61" s="2"/>
      <c r="F61" s="5" t="s">
        <v>3230</v>
      </c>
      <c r="G61" s="5" t="s">
        <v>2290</v>
      </c>
      <c r="H61" s="5" t="s">
        <v>3231</v>
      </c>
      <c r="I61" s="2"/>
      <c r="J61" s="2"/>
      <c r="K61" s="2"/>
      <c r="L61" s="2"/>
    </row>
    <row r="62" spans="1:12" ht="15.95" thickBot="1">
      <c r="D62" s="2"/>
      <c r="E62" s="2"/>
      <c r="F62" s="5" t="s">
        <v>3232</v>
      </c>
      <c r="G62" s="5" t="s">
        <v>2290</v>
      </c>
      <c r="H62" s="5" t="s">
        <v>3233</v>
      </c>
      <c r="I62" s="2"/>
      <c r="J62" s="2"/>
      <c r="K62" s="2"/>
      <c r="L62" s="2"/>
    </row>
    <row r="63" spans="1:12" ht="15.95" thickBot="1">
      <c r="D63" s="2"/>
      <c r="E63" s="2"/>
      <c r="F63" s="5" t="s">
        <v>3234</v>
      </c>
      <c r="G63" s="5" t="s">
        <v>1012</v>
      </c>
      <c r="H63" s="5" t="s">
        <v>3235</v>
      </c>
      <c r="I63" s="2"/>
      <c r="J63" s="2"/>
      <c r="K63" s="2"/>
      <c r="L63" s="2"/>
    </row>
    <row r="64" spans="1:12" ht="15.95" thickBot="1">
      <c r="E64" s="6" t="s">
        <v>2194</v>
      </c>
      <c r="F64" s="7" t="s">
        <v>1626</v>
      </c>
      <c r="G64" s="7" t="s">
        <v>2195</v>
      </c>
      <c r="H64" s="7" t="s">
        <v>2196</v>
      </c>
      <c r="I64" s="7" t="s">
        <v>2299</v>
      </c>
      <c r="J64" s="7" t="s">
        <v>2198</v>
      </c>
      <c r="L64" s="2"/>
    </row>
    <row r="65" spans="1:15" ht="15.95" thickBot="1">
      <c r="D65" s="3" t="s">
        <v>3236</v>
      </c>
      <c r="E65" s="1" t="s">
        <v>3237</v>
      </c>
      <c r="F65" s="5" t="s">
        <v>3238</v>
      </c>
      <c r="G65" s="5" t="s">
        <v>3239</v>
      </c>
      <c r="H65" s="5" t="s">
        <v>3240</v>
      </c>
      <c r="I65" s="5" t="s">
        <v>3241</v>
      </c>
      <c r="J65" s="5" t="s">
        <v>3242</v>
      </c>
      <c r="L65" s="2"/>
    </row>
    <row r="66" spans="1:15" ht="15.95" thickBot="1">
      <c r="D66" s="2"/>
      <c r="F66" s="5" t="s">
        <v>3243</v>
      </c>
      <c r="G66" s="5" t="s">
        <v>3244</v>
      </c>
      <c r="H66" s="5" t="s">
        <v>3245</v>
      </c>
      <c r="I66" s="5" t="s">
        <v>3246</v>
      </c>
      <c r="J66" s="5" t="s">
        <v>3247</v>
      </c>
      <c r="L66" s="2"/>
    </row>
    <row r="67" spans="1:15" ht="15.95" thickBot="1">
      <c r="D67" s="2"/>
      <c r="E67" s="2"/>
      <c r="F67" s="5" t="s">
        <v>3248</v>
      </c>
      <c r="G67" s="5" t="s">
        <v>3249</v>
      </c>
      <c r="H67" s="5" t="s">
        <v>3250</v>
      </c>
      <c r="I67" s="5" t="s">
        <v>3251</v>
      </c>
      <c r="J67" s="5" t="s">
        <v>3252</v>
      </c>
      <c r="L67" s="2"/>
    </row>
    <row r="68" spans="1:15" ht="15.95" thickBot="1">
      <c r="D68" s="2"/>
      <c r="E68" s="2"/>
      <c r="F68" s="5" t="s">
        <v>3253</v>
      </c>
      <c r="G68" s="5" t="s">
        <v>3254</v>
      </c>
      <c r="H68" s="5" t="s">
        <v>3255</v>
      </c>
      <c r="I68" s="5" t="s">
        <v>3256</v>
      </c>
      <c r="J68" s="5" t="s">
        <v>3257</v>
      </c>
      <c r="L68" s="2"/>
    </row>
    <row r="69" spans="1:15" ht="15.95" thickBot="1">
      <c r="D69" s="2"/>
      <c r="E69" s="2"/>
      <c r="F69" s="5" t="s">
        <v>3258</v>
      </c>
      <c r="G69" s="5" t="s">
        <v>3259</v>
      </c>
      <c r="H69" s="5" t="s">
        <v>3260</v>
      </c>
      <c r="I69" s="5" t="s">
        <v>3261</v>
      </c>
      <c r="J69" s="5" t="s">
        <v>3262</v>
      </c>
      <c r="L69" s="2"/>
    </row>
    <row r="70" spans="1:15" ht="15.95" thickBot="1">
      <c r="A70" s="2"/>
      <c r="B70" s="2"/>
      <c r="C70" s="2"/>
      <c r="D70" s="2"/>
      <c r="E70" s="2"/>
      <c r="F70" s="5" t="s">
        <v>2831</v>
      </c>
      <c r="G70" s="5" t="s">
        <v>3263</v>
      </c>
      <c r="H70" s="5" t="s">
        <v>3264</v>
      </c>
      <c r="I70" s="5" t="s">
        <v>3265</v>
      </c>
      <c r="J70" s="5" t="s">
        <v>2835</v>
      </c>
      <c r="L70" s="2"/>
    </row>
    <row r="71" spans="1:15" ht="15.95" thickBot="1">
      <c r="A71" s="1"/>
      <c r="B71" s="2"/>
      <c r="C71" s="2"/>
      <c r="D71" s="2"/>
      <c r="E71" s="2"/>
      <c r="F71" s="5" t="s">
        <v>3266</v>
      </c>
      <c r="G71" s="5" t="s">
        <v>3267</v>
      </c>
      <c r="H71" s="5" t="s">
        <v>3268</v>
      </c>
      <c r="I71" s="5" t="s">
        <v>3269</v>
      </c>
      <c r="J71" s="5" t="s">
        <v>3270</v>
      </c>
      <c r="L71" s="2"/>
    </row>
    <row r="72" spans="1:15" ht="15.95" thickBot="1">
      <c r="B72" s="2"/>
      <c r="C72" s="2"/>
      <c r="D72" s="2"/>
      <c r="E72" s="2"/>
      <c r="F72" s="5" t="s">
        <v>3271</v>
      </c>
      <c r="G72" s="5" t="s">
        <v>3272</v>
      </c>
      <c r="H72" s="5" t="s">
        <v>3273</v>
      </c>
      <c r="I72" s="5" t="s">
        <v>3274</v>
      </c>
      <c r="J72" s="5" t="s">
        <v>3275</v>
      </c>
      <c r="L72" s="2"/>
    </row>
    <row r="73" spans="1:15" ht="15.95" thickBot="1">
      <c r="A73" s="1"/>
      <c r="B73" s="2"/>
      <c r="C73" s="2"/>
      <c r="D73" s="2"/>
      <c r="E73" s="2"/>
      <c r="F73" s="5" t="s">
        <v>3276</v>
      </c>
      <c r="G73" s="5" t="s">
        <v>3277</v>
      </c>
      <c r="H73" s="5" t="s">
        <v>3278</v>
      </c>
      <c r="I73" s="5" t="s">
        <v>3279</v>
      </c>
      <c r="J73" s="5" t="s">
        <v>3280</v>
      </c>
      <c r="L73" s="2"/>
    </row>
    <row r="74" spans="1:15" ht="15.95" thickBot="1">
      <c r="B74" s="2"/>
      <c r="C74" s="2"/>
      <c r="D74" s="2"/>
      <c r="E74" s="2"/>
      <c r="F74" s="5" t="s">
        <v>1679</v>
      </c>
      <c r="G74" s="5" t="s">
        <v>3281</v>
      </c>
      <c r="H74" s="5" t="s">
        <v>3282</v>
      </c>
      <c r="I74" s="5" t="s">
        <v>3283</v>
      </c>
      <c r="J74" s="5" t="s">
        <v>3284</v>
      </c>
      <c r="L74" s="2"/>
    </row>
    <row r="75" spans="1:15" ht="15.95" thickBot="1">
      <c r="B75" s="2"/>
      <c r="C75" s="2"/>
      <c r="D75" s="3" t="s">
        <v>3285</v>
      </c>
      <c r="E75" s="2"/>
      <c r="F75" s="7" t="s">
        <v>2265</v>
      </c>
      <c r="G75" s="7" t="s">
        <v>143</v>
      </c>
      <c r="H75" s="7" t="s">
        <v>3118</v>
      </c>
      <c r="I75" s="2"/>
      <c r="J75" s="2"/>
      <c r="K75" s="2"/>
      <c r="L75" s="2"/>
      <c r="M75" s="2"/>
      <c r="N75" s="2"/>
      <c r="O75" s="2"/>
    </row>
    <row r="76" spans="1:15" ht="15.95" thickBot="1">
      <c r="B76" s="2"/>
      <c r="C76" s="2"/>
      <c r="D76" s="1"/>
      <c r="E76" s="2"/>
      <c r="F76" s="5" t="s">
        <v>3286</v>
      </c>
      <c r="G76" s="5" t="s">
        <v>1697</v>
      </c>
      <c r="H76" s="5" t="s">
        <v>3287</v>
      </c>
      <c r="I76" s="2"/>
      <c r="J76" s="2"/>
      <c r="K76" s="2"/>
      <c r="L76" s="2"/>
      <c r="M76" s="2"/>
      <c r="N76" s="2"/>
      <c r="O76" s="2"/>
    </row>
    <row r="77" spans="1:15" ht="15.95" thickBot="1">
      <c r="A77" s="1"/>
      <c r="B77" s="2"/>
      <c r="F77" s="5" t="s">
        <v>3288</v>
      </c>
      <c r="G77" s="5" t="s">
        <v>3289</v>
      </c>
      <c r="H77" s="5" t="s">
        <v>1060</v>
      </c>
      <c r="I77" s="2"/>
      <c r="J77" s="2"/>
      <c r="K77" s="2"/>
      <c r="L77" s="2"/>
      <c r="M77" s="2"/>
      <c r="N77" s="2"/>
      <c r="O77" s="2"/>
    </row>
    <row r="78" spans="1:15" ht="15.95" thickBot="1">
      <c r="F78" s="5" t="s">
        <v>1426</v>
      </c>
      <c r="G78" s="5" t="s">
        <v>3290</v>
      </c>
      <c r="H78" s="19">
        <v>-0.6</v>
      </c>
      <c r="I78" s="2"/>
      <c r="J78" s="2"/>
      <c r="K78" s="2"/>
      <c r="L78" s="2"/>
      <c r="M78" s="2"/>
      <c r="N78" s="2"/>
      <c r="O78" s="2"/>
    </row>
    <row r="79" spans="1:15" ht="15.95" thickBot="1">
      <c r="F79" s="5" t="s">
        <v>3291</v>
      </c>
      <c r="G79" s="5" t="s">
        <v>3292</v>
      </c>
      <c r="H79" s="19">
        <v>-0.3</v>
      </c>
      <c r="I79" s="2"/>
      <c r="J79" s="2"/>
      <c r="K79" s="2"/>
      <c r="L79" s="2"/>
      <c r="M79" s="2"/>
      <c r="N79" s="2"/>
      <c r="O79" s="2"/>
    </row>
    <row r="80" spans="1:15" ht="15.95" thickBot="1">
      <c r="F80" s="5" t="s">
        <v>510</v>
      </c>
      <c r="G80" s="5" t="s">
        <v>3293</v>
      </c>
      <c r="H80" s="5" t="s">
        <v>1060</v>
      </c>
      <c r="I80" s="2"/>
      <c r="J80" s="2"/>
      <c r="K80" s="2"/>
      <c r="L80" s="2"/>
      <c r="M80" s="2"/>
      <c r="N80" s="2"/>
      <c r="O80" s="2"/>
    </row>
    <row r="81" spans="1:15" ht="15.95" thickBot="1">
      <c r="F81" s="5" t="s">
        <v>3294</v>
      </c>
      <c r="G81" s="5" t="s">
        <v>3295</v>
      </c>
      <c r="H81" s="5" t="s">
        <v>1074</v>
      </c>
      <c r="I81" s="2"/>
      <c r="J81" s="2"/>
      <c r="K81" s="2"/>
      <c r="L81" s="2"/>
      <c r="M81" s="2"/>
      <c r="N81" s="2"/>
      <c r="O81" s="2"/>
    </row>
    <row r="82" spans="1:15" ht="15.95" thickBot="1">
      <c r="F82" s="5" t="s">
        <v>3296</v>
      </c>
      <c r="G82" s="5" t="s">
        <v>3297</v>
      </c>
      <c r="H82" s="5" t="s">
        <v>1074</v>
      </c>
      <c r="I82" s="2"/>
      <c r="J82" s="2"/>
      <c r="K82" s="2"/>
      <c r="L82" s="2"/>
      <c r="M82" s="2"/>
      <c r="N82" s="2"/>
      <c r="O82" s="2"/>
    </row>
    <row r="83" spans="1:15" ht="15.95" thickBot="1">
      <c r="F83" s="5" t="s">
        <v>3298</v>
      </c>
      <c r="G83" s="5" t="s">
        <v>3299</v>
      </c>
      <c r="H83" s="5" t="s">
        <v>1047</v>
      </c>
      <c r="I83" s="2"/>
      <c r="J83" s="2"/>
      <c r="K83" s="2"/>
      <c r="L83" s="2"/>
      <c r="M83" s="2"/>
      <c r="N83" s="2"/>
      <c r="O83" s="2"/>
    </row>
    <row r="84" spans="1:15" ht="15.95" thickBot="1">
      <c r="F84" s="5" t="s">
        <v>1683</v>
      </c>
      <c r="G84" s="5" t="s">
        <v>3300</v>
      </c>
      <c r="H84" s="19">
        <v>1</v>
      </c>
      <c r="I84" s="2"/>
      <c r="J84" s="2"/>
      <c r="K84" s="2"/>
      <c r="L84" s="2"/>
      <c r="M84" s="2"/>
      <c r="N84" s="2"/>
      <c r="O84" s="2"/>
    </row>
    <row r="85" spans="1:15" ht="15.95" thickBot="1">
      <c r="F85" s="5" t="s">
        <v>3301</v>
      </c>
      <c r="G85" s="5" t="s">
        <v>3302</v>
      </c>
      <c r="H85" s="19">
        <v>-0.25</v>
      </c>
      <c r="I85" s="2"/>
      <c r="J85" s="2"/>
      <c r="K85" s="2"/>
      <c r="L85" s="2"/>
      <c r="M85" s="2"/>
      <c r="N85" s="2"/>
      <c r="O85" s="2"/>
    </row>
    <row r="86" spans="1:15" ht="15.95" thickBot="1">
      <c r="A86" s="1"/>
      <c r="B86" s="2"/>
      <c r="D86" s="3" t="s">
        <v>3303</v>
      </c>
      <c r="E86" s="2"/>
      <c r="F86" s="7" t="s">
        <v>2281</v>
      </c>
      <c r="G86" s="7" t="s">
        <v>2282</v>
      </c>
      <c r="H86" s="7" t="s">
        <v>2283</v>
      </c>
      <c r="I86" s="2"/>
      <c r="J86" s="2"/>
      <c r="K86" s="2"/>
      <c r="L86" s="2"/>
      <c r="M86" s="2"/>
      <c r="N86" s="2"/>
      <c r="O86" s="2"/>
    </row>
    <row r="87" spans="1:15" ht="15.95" thickBot="1">
      <c r="D87" s="1"/>
      <c r="E87" s="2"/>
      <c r="F87" s="5" t="s">
        <v>3304</v>
      </c>
      <c r="G87" s="5" t="s">
        <v>1012</v>
      </c>
      <c r="H87" s="5" t="s">
        <v>3305</v>
      </c>
      <c r="I87" s="2"/>
      <c r="J87" s="2"/>
      <c r="K87" s="2"/>
      <c r="L87" s="2"/>
      <c r="M87" s="2"/>
      <c r="N87" s="2"/>
      <c r="O87" s="2"/>
    </row>
    <row r="88" spans="1:15" ht="15.95" thickBot="1">
      <c r="F88" s="5" t="s">
        <v>3306</v>
      </c>
      <c r="G88" s="5" t="s">
        <v>1012</v>
      </c>
      <c r="H88" s="5" t="s">
        <v>3307</v>
      </c>
      <c r="I88" s="2"/>
      <c r="J88" s="2"/>
      <c r="K88" s="2"/>
      <c r="L88" s="2"/>
      <c r="M88" s="2"/>
      <c r="N88" s="2"/>
      <c r="O88" s="2"/>
    </row>
    <row r="89" spans="1:15" ht="15.95" thickBot="1">
      <c r="F89" s="5" t="s">
        <v>3308</v>
      </c>
      <c r="G89" s="5" t="s">
        <v>2290</v>
      </c>
      <c r="H89" s="5" t="s">
        <v>3309</v>
      </c>
      <c r="I89" s="2"/>
      <c r="J89" s="2"/>
      <c r="K89" s="2"/>
      <c r="L89" s="2"/>
      <c r="M89" s="2"/>
      <c r="N89" s="2"/>
      <c r="O89" s="2"/>
    </row>
    <row r="90" spans="1:15" ht="15.95" thickBot="1">
      <c r="F90" s="5" t="s">
        <v>3310</v>
      </c>
      <c r="G90" s="5" t="s">
        <v>2290</v>
      </c>
      <c r="H90" s="5" t="s">
        <v>3311</v>
      </c>
      <c r="I90" s="2"/>
      <c r="J90" s="2"/>
      <c r="K90" s="2"/>
      <c r="L90" s="2"/>
      <c r="M90" s="2"/>
      <c r="N90" s="2"/>
      <c r="O90" s="2"/>
    </row>
    <row r="91" spans="1:15" ht="15.95" thickBot="1">
      <c r="F91" s="5" t="s">
        <v>3312</v>
      </c>
      <c r="G91" s="5" t="s">
        <v>1012</v>
      </c>
      <c r="H91" s="5" t="s">
        <v>3313</v>
      </c>
      <c r="I91" s="2"/>
      <c r="J91" s="2"/>
      <c r="K91" s="2"/>
      <c r="L91" s="2"/>
      <c r="M91" s="2"/>
      <c r="N91" s="2"/>
      <c r="O91" s="2"/>
    </row>
    <row r="92" spans="1:15" ht="15.95" thickBot="1">
      <c r="F92" s="5" t="s">
        <v>3314</v>
      </c>
      <c r="G92" s="5" t="s">
        <v>2290</v>
      </c>
      <c r="H92" s="5" t="s">
        <v>3315</v>
      </c>
      <c r="I92" s="2"/>
      <c r="J92" s="2"/>
      <c r="K92" s="2"/>
      <c r="L92" s="2"/>
      <c r="M92" s="2"/>
      <c r="N92" s="2"/>
      <c r="O92" s="2"/>
    </row>
    <row r="93" spans="1:15" ht="15.95" thickBot="1">
      <c r="F93" s="5" t="s">
        <v>3316</v>
      </c>
      <c r="G93" s="5" t="s">
        <v>2290</v>
      </c>
      <c r="H93" s="5" t="s">
        <v>3317</v>
      </c>
      <c r="I93" s="2"/>
      <c r="J93" s="2"/>
      <c r="K93" s="2"/>
      <c r="L93" s="2"/>
      <c r="M93" s="2"/>
      <c r="N93" s="2"/>
      <c r="O93" s="2"/>
    </row>
    <row r="94" spans="1:15" ht="15.95" thickBot="1">
      <c r="F94" s="5" t="s">
        <v>3318</v>
      </c>
      <c r="G94" s="5" t="s">
        <v>1012</v>
      </c>
      <c r="H94" s="5" t="s">
        <v>3319</v>
      </c>
      <c r="I94" s="2"/>
      <c r="J94" s="2"/>
      <c r="K94" s="2"/>
      <c r="L94" s="2"/>
      <c r="M94" s="2"/>
      <c r="N94" s="2"/>
      <c r="O94" s="2"/>
    </row>
    <row r="95" spans="1:15" ht="15.95" thickBot="1">
      <c r="D95" s="3" t="s">
        <v>3320</v>
      </c>
      <c r="F95" s="7" t="s">
        <v>2943</v>
      </c>
      <c r="G95" s="7" t="s">
        <v>2944</v>
      </c>
      <c r="H95" s="7" t="s">
        <v>3321</v>
      </c>
      <c r="I95" s="2"/>
      <c r="J95" s="2"/>
      <c r="K95" s="2"/>
      <c r="L95" s="2"/>
      <c r="M95" s="2"/>
      <c r="N95" s="2"/>
      <c r="O95" s="2"/>
    </row>
    <row r="96" spans="1:15" ht="15.95" thickBot="1">
      <c r="F96" s="5" t="s">
        <v>3112</v>
      </c>
      <c r="G96" s="5" t="s">
        <v>3322</v>
      </c>
      <c r="H96" s="5" t="s">
        <v>3323</v>
      </c>
      <c r="I96" s="2"/>
      <c r="J96" s="2"/>
      <c r="K96" s="2"/>
      <c r="L96" s="2"/>
      <c r="M96" s="2"/>
      <c r="N96" s="2"/>
      <c r="O96" s="2"/>
    </row>
    <row r="97" spans="1:15" ht="15.95" thickBot="1">
      <c r="D97" s="2"/>
      <c r="E97" s="2"/>
      <c r="F97" s="5" t="s">
        <v>3324</v>
      </c>
      <c r="G97" s="5" t="s">
        <v>3325</v>
      </c>
      <c r="H97" s="5" t="s">
        <v>3326</v>
      </c>
      <c r="I97" s="2"/>
      <c r="J97" s="2"/>
      <c r="K97" s="2"/>
      <c r="L97" s="2"/>
      <c r="M97" s="2"/>
      <c r="N97" s="2"/>
      <c r="O97" s="2"/>
    </row>
    <row r="98" spans="1:15" ht="15.95" thickBot="1">
      <c r="D98" s="1"/>
      <c r="E98" s="2"/>
      <c r="F98" s="5" t="s">
        <v>3327</v>
      </c>
      <c r="G98" s="5" t="s">
        <v>3328</v>
      </c>
      <c r="H98" s="5" t="s">
        <v>3329</v>
      </c>
      <c r="I98" s="2"/>
      <c r="J98" s="2"/>
      <c r="K98" s="2"/>
      <c r="L98" s="2"/>
      <c r="M98" s="2"/>
      <c r="N98" s="2"/>
      <c r="O98" s="2"/>
    </row>
    <row r="99" spans="1:15" ht="15.95" thickBot="1">
      <c r="E99" s="2"/>
      <c r="F99" s="5" t="s">
        <v>3330</v>
      </c>
      <c r="G99" s="5" t="s">
        <v>3331</v>
      </c>
      <c r="H99" s="5" t="s">
        <v>3332</v>
      </c>
      <c r="I99" s="2"/>
      <c r="J99" s="2"/>
      <c r="K99" s="2"/>
      <c r="L99" s="2"/>
      <c r="M99" s="2"/>
      <c r="N99" s="2"/>
      <c r="O99" s="2"/>
    </row>
    <row r="100" spans="1:15" ht="15.95" thickBot="1">
      <c r="D100" s="1"/>
      <c r="E100" s="2"/>
      <c r="F100" s="5" t="s">
        <v>3333</v>
      </c>
      <c r="G100" s="5" t="s">
        <v>3334</v>
      </c>
      <c r="H100" s="5" t="s">
        <v>3335</v>
      </c>
      <c r="I100" s="2"/>
      <c r="J100" s="2"/>
      <c r="K100" s="2"/>
      <c r="L100" s="2"/>
      <c r="M100" s="2"/>
      <c r="N100" s="2"/>
      <c r="O100" s="2"/>
    </row>
    <row r="101" spans="1:15" ht="15.95" thickBot="1">
      <c r="F101" s="5" t="s">
        <v>510</v>
      </c>
      <c r="G101" s="5" t="s">
        <v>3336</v>
      </c>
      <c r="H101" s="5" t="s">
        <v>3337</v>
      </c>
      <c r="I101" s="2"/>
      <c r="J101" s="2"/>
      <c r="K101" s="2"/>
      <c r="L101" s="2"/>
      <c r="M101" s="2"/>
      <c r="N101" s="2"/>
      <c r="O101" s="2"/>
    </row>
    <row r="102" spans="1:15" ht="15.95" thickBot="1">
      <c r="F102" s="5" t="s">
        <v>2962</v>
      </c>
      <c r="G102" s="5" t="s">
        <v>3338</v>
      </c>
      <c r="H102" s="5" t="s">
        <v>3339</v>
      </c>
      <c r="I102" s="2"/>
      <c r="J102" s="2"/>
      <c r="K102" s="2"/>
      <c r="L102" s="2"/>
      <c r="M102" s="2"/>
      <c r="N102" s="2"/>
      <c r="O102" s="2"/>
    </row>
    <row r="103" spans="1:15" ht="15.95" thickBot="1">
      <c r="F103" s="5" t="s">
        <v>3340</v>
      </c>
      <c r="G103" s="5" t="s">
        <v>3341</v>
      </c>
      <c r="H103" s="5" t="s">
        <v>3342</v>
      </c>
      <c r="I103" s="2"/>
      <c r="J103" s="2"/>
      <c r="K103" s="2"/>
      <c r="L103" s="2"/>
      <c r="M103" s="2"/>
      <c r="N103" s="2"/>
      <c r="O103" s="2"/>
    </row>
    <row r="104" spans="1:15" ht="15.95" thickBot="1">
      <c r="F104" s="5" t="s">
        <v>3343</v>
      </c>
      <c r="G104" s="5" t="s">
        <v>3344</v>
      </c>
      <c r="H104" s="5" t="s">
        <v>3345</v>
      </c>
      <c r="I104" s="2"/>
      <c r="J104" s="2"/>
      <c r="K104" s="2"/>
      <c r="L104" s="2"/>
      <c r="M104" s="2"/>
      <c r="N104" s="2"/>
      <c r="O104" s="2"/>
    </row>
    <row r="105" spans="1:15" ht="15.95" thickBot="1">
      <c r="F105" s="5" t="s">
        <v>2955</v>
      </c>
      <c r="G105" s="5" t="s">
        <v>3346</v>
      </c>
      <c r="H105" s="5" t="s">
        <v>3347</v>
      </c>
      <c r="I105" s="2"/>
      <c r="J105" s="2"/>
      <c r="K105" s="2"/>
      <c r="L105" s="2"/>
      <c r="M105" s="2"/>
      <c r="N105" s="2"/>
      <c r="O105" s="2"/>
    </row>
    <row r="106" spans="1:15" ht="15.95" thickBot="1">
      <c r="F106" s="5" t="s">
        <v>3348</v>
      </c>
      <c r="G106" s="5" t="s">
        <v>3349</v>
      </c>
      <c r="H106" s="5" t="s">
        <v>3350</v>
      </c>
      <c r="I106" s="2"/>
      <c r="J106" s="2"/>
      <c r="K106" s="2"/>
      <c r="L106" s="2"/>
      <c r="M106" s="2"/>
      <c r="N106" s="2"/>
      <c r="O106" s="2"/>
    </row>
    <row r="107" spans="1:15" ht="15.95" thickBot="1">
      <c r="F107" s="5" t="s">
        <v>2965</v>
      </c>
      <c r="G107" s="5" t="s">
        <v>3351</v>
      </c>
      <c r="H107" s="5" t="s">
        <v>3352</v>
      </c>
      <c r="I107" s="2"/>
      <c r="J107" s="2"/>
      <c r="K107" s="2"/>
      <c r="L107" s="2"/>
      <c r="M107" s="2"/>
      <c r="N107" s="2"/>
      <c r="O107" s="2"/>
    </row>
    <row r="108" spans="1:15" ht="15.95" thickBot="1">
      <c r="A108" s="3" t="s">
        <v>3353</v>
      </c>
      <c r="D108" s="8" t="s">
        <v>3354</v>
      </c>
      <c r="E108" s="24"/>
      <c r="F108" s="8" t="s">
        <v>3355</v>
      </c>
      <c r="G108" s="8" t="s">
        <v>3356</v>
      </c>
      <c r="H108" s="8" t="s">
        <v>3357</v>
      </c>
      <c r="I108" s="8" t="s">
        <v>3358</v>
      </c>
      <c r="J108" s="8" t="s">
        <v>2694</v>
      </c>
      <c r="K108" s="8" t="s">
        <v>3359</v>
      </c>
      <c r="L108" s="8" t="s">
        <v>3360</v>
      </c>
      <c r="M108" s="2"/>
      <c r="N108" s="2"/>
      <c r="O108" s="2"/>
    </row>
    <row r="109" spans="1:15" ht="15.95" thickBot="1">
      <c r="D109" s="5" t="s">
        <v>3361</v>
      </c>
      <c r="F109" s="25" t="s">
        <v>3362</v>
      </c>
      <c r="G109" s="25" t="s">
        <v>3363</v>
      </c>
      <c r="H109" s="25" t="s">
        <v>3364</v>
      </c>
      <c r="I109" s="25" t="s">
        <v>3363</v>
      </c>
      <c r="J109" s="25" t="s">
        <v>3363</v>
      </c>
      <c r="K109" s="25" t="s">
        <v>3365</v>
      </c>
      <c r="L109" s="25" t="s">
        <v>3363</v>
      </c>
      <c r="M109" s="2"/>
      <c r="N109" s="2"/>
      <c r="O109" s="2"/>
    </row>
    <row r="110" spans="1:15" ht="15.95" thickBot="1">
      <c r="D110" s="5" t="s">
        <v>3366</v>
      </c>
      <c r="F110" s="25" t="s">
        <v>3363</v>
      </c>
      <c r="G110" s="25" t="s">
        <v>3363</v>
      </c>
      <c r="H110" s="25" t="s">
        <v>3362</v>
      </c>
      <c r="I110" s="25" t="s">
        <v>3364</v>
      </c>
      <c r="J110" s="25" t="s">
        <v>3363</v>
      </c>
      <c r="K110" s="25" t="s">
        <v>3363</v>
      </c>
      <c r="L110" s="25" t="s">
        <v>3363</v>
      </c>
      <c r="M110" s="2"/>
      <c r="N110" s="2"/>
      <c r="O110" s="2"/>
    </row>
    <row r="111" spans="1:15" ht="15.95" thickBot="1">
      <c r="D111" s="5" t="s">
        <v>3367</v>
      </c>
      <c r="F111" s="25" t="s">
        <v>3363</v>
      </c>
      <c r="G111" s="25" t="s">
        <v>3363</v>
      </c>
      <c r="H111" s="25" t="s">
        <v>3368</v>
      </c>
      <c r="I111" s="25" t="s">
        <v>3363</v>
      </c>
      <c r="J111" s="25" t="s">
        <v>3363</v>
      </c>
      <c r="K111" s="25" t="s">
        <v>3363</v>
      </c>
      <c r="L111" s="25" t="s">
        <v>3364</v>
      </c>
      <c r="M111" s="2"/>
      <c r="N111" s="2"/>
      <c r="O111" s="2"/>
    </row>
    <row r="112" spans="1:15" ht="15.95" thickBot="1">
      <c r="D112" s="5" t="s">
        <v>3369</v>
      </c>
      <c r="F112" s="25" t="s">
        <v>3363</v>
      </c>
      <c r="G112" s="25" t="s">
        <v>3364</v>
      </c>
      <c r="H112" s="25" t="s">
        <v>3362</v>
      </c>
      <c r="I112" s="25" t="s">
        <v>3364</v>
      </c>
      <c r="J112" s="25" t="s">
        <v>3364</v>
      </c>
      <c r="K112" s="25" t="s">
        <v>3363</v>
      </c>
      <c r="L112" s="25" t="s">
        <v>3363</v>
      </c>
      <c r="M112" s="2"/>
      <c r="N112" s="2"/>
      <c r="O112" s="2"/>
    </row>
    <row r="113" spans="1:15" ht="15.95" thickBot="1">
      <c r="D113" s="5" t="s">
        <v>3370</v>
      </c>
      <c r="F113" s="25" t="s">
        <v>3363</v>
      </c>
      <c r="G113" s="25" t="s">
        <v>3363</v>
      </c>
      <c r="H113" s="25" t="s">
        <v>3364</v>
      </c>
      <c r="I113" s="25" t="s">
        <v>3363</v>
      </c>
      <c r="J113" s="25" t="s">
        <v>3368</v>
      </c>
      <c r="K113" s="25" t="s">
        <v>3363</v>
      </c>
      <c r="L113" s="25" t="s">
        <v>3363</v>
      </c>
      <c r="M113" s="2"/>
      <c r="N113" s="2"/>
      <c r="O113" s="2"/>
    </row>
    <row r="114" spans="1:15" ht="15.95" thickBot="1">
      <c r="D114" s="5" t="s">
        <v>3371</v>
      </c>
      <c r="F114" s="25" t="s">
        <v>3363</v>
      </c>
      <c r="G114" s="25" t="s">
        <v>3363</v>
      </c>
      <c r="H114" s="25" t="s">
        <v>3363</v>
      </c>
      <c r="I114" s="25" t="s">
        <v>3363</v>
      </c>
      <c r="J114" s="25" t="s">
        <v>3364</v>
      </c>
      <c r="K114" s="25" t="s">
        <v>3368</v>
      </c>
      <c r="L114" s="25" t="s">
        <v>3363</v>
      </c>
      <c r="M114" s="2"/>
      <c r="N114" s="2"/>
      <c r="O114" s="2"/>
    </row>
    <row r="115" spans="1:15" ht="15.95" thickBot="1">
      <c r="D115" s="5" t="s">
        <v>3372</v>
      </c>
      <c r="F115" s="25" t="s">
        <v>3363</v>
      </c>
      <c r="G115" s="25" t="s">
        <v>3363</v>
      </c>
      <c r="H115" s="25" t="s">
        <v>3362</v>
      </c>
      <c r="I115" s="25" t="s">
        <v>3363</v>
      </c>
      <c r="J115" s="25" t="s">
        <v>3363</v>
      </c>
      <c r="K115" s="25" t="s">
        <v>3363</v>
      </c>
      <c r="L115" s="25" t="s">
        <v>3364</v>
      </c>
      <c r="M115" s="2"/>
      <c r="N115" s="2"/>
      <c r="O115" s="2"/>
    </row>
    <row r="116" spans="1:15" ht="15.95" thickBot="1">
      <c r="D116" s="5" t="s">
        <v>3373</v>
      </c>
      <c r="F116" s="25" t="s">
        <v>3363</v>
      </c>
      <c r="G116" s="25" t="s">
        <v>3364</v>
      </c>
      <c r="H116" s="25" t="s">
        <v>3364</v>
      </c>
      <c r="I116" s="25" t="s">
        <v>3363</v>
      </c>
      <c r="J116" s="25" t="s">
        <v>3364</v>
      </c>
      <c r="K116" s="25" t="s">
        <v>3362</v>
      </c>
      <c r="L116" s="25" t="s">
        <v>3363</v>
      </c>
      <c r="M116" s="2"/>
      <c r="N116" s="2"/>
      <c r="O116" s="2"/>
    </row>
    <row r="117" spans="1:15" ht="15.95" thickBot="1">
      <c r="D117" s="5" t="s">
        <v>3374</v>
      </c>
      <c r="F117" s="25" t="s">
        <v>3362</v>
      </c>
      <c r="G117" s="25" t="s">
        <v>3364</v>
      </c>
      <c r="H117" s="25" t="s">
        <v>3364</v>
      </c>
      <c r="I117" s="25" t="s">
        <v>3363</v>
      </c>
      <c r="J117" s="25" t="s">
        <v>3363</v>
      </c>
      <c r="K117" s="25" t="s">
        <v>3363</v>
      </c>
      <c r="L117" s="25" t="s">
        <v>3363</v>
      </c>
      <c r="M117" s="2"/>
      <c r="N117" s="2"/>
      <c r="O117" s="2"/>
    </row>
    <row r="118" spans="1:15" ht="15.95" thickBot="1">
      <c r="D118" s="5" t="s">
        <v>3375</v>
      </c>
      <c r="F118" s="25" t="s">
        <v>3362</v>
      </c>
      <c r="G118" s="25" t="s">
        <v>3364</v>
      </c>
      <c r="H118" s="25" t="s">
        <v>3364</v>
      </c>
      <c r="I118" s="25" t="s">
        <v>3363</v>
      </c>
      <c r="J118" s="25" t="s">
        <v>3363</v>
      </c>
      <c r="K118" s="25" t="s">
        <v>3365</v>
      </c>
      <c r="L118" s="25" t="s">
        <v>3364</v>
      </c>
      <c r="M118" s="2"/>
      <c r="N118" s="2"/>
      <c r="O118" s="2"/>
    </row>
    <row r="119" spans="1:15" ht="15.95" thickBot="1">
      <c r="A119" s="3" t="s">
        <v>3376</v>
      </c>
      <c r="B119" s="2"/>
      <c r="E119" s="7" t="s">
        <v>2379</v>
      </c>
      <c r="F119" s="7" t="s">
        <v>2266</v>
      </c>
      <c r="L119" s="2"/>
      <c r="M119" s="2"/>
      <c r="N119" s="2"/>
      <c r="O119" s="2"/>
    </row>
    <row r="120" spans="1:15" ht="15.95" thickBot="1">
      <c r="E120" s="5" t="s">
        <v>3377</v>
      </c>
      <c r="F120" s="5" t="s">
        <v>2381</v>
      </c>
      <c r="L120" s="2"/>
      <c r="M120" s="2"/>
      <c r="N120" s="2"/>
      <c r="O120" s="2"/>
    </row>
    <row r="121" spans="1:15" ht="15.95" thickBot="1">
      <c r="D121" s="2"/>
      <c r="E121" s="5" t="s">
        <v>3378</v>
      </c>
      <c r="F121" s="5" t="s">
        <v>2381</v>
      </c>
      <c r="G121" s="2"/>
      <c r="H121" s="2"/>
      <c r="I121" s="2"/>
      <c r="J121" s="2"/>
      <c r="K121" s="2"/>
      <c r="L121" s="2"/>
      <c r="M121" s="2"/>
      <c r="N121" s="2"/>
      <c r="O121" s="2"/>
    </row>
    <row r="122" spans="1:15" ht="15.95" thickBot="1">
      <c r="D122" s="1"/>
      <c r="E122" s="5" t="s">
        <v>3379</v>
      </c>
      <c r="F122" s="5" t="s">
        <v>2381</v>
      </c>
      <c r="G122" s="2"/>
      <c r="H122" s="2"/>
      <c r="I122" s="2"/>
      <c r="J122" s="2"/>
      <c r="K122" s="2"/>
      <c r="L122" s="2"/>
      <c r="M122" s="2"/>
      <c r="N122" s="2"/>
      <c r="O122" s="2"/>
    </row>
    <row r="123" spans="1:15" ht="15.95" thickBot="1">
      <c r="E123" s="5" t="s">
        <v>3380</v>
      </c>
      <c r="F123" s="5" t="s">
        <v>2381</v>
      </c>
      <c r="G123" s="2"/>
      <c r="H123" s="2"/>
      <c r="I123" s="2"/>
      <c r="J123" s="2"/>
      <c r="K123" s="2"/>
      <c r="L123" s="2"/>
      <c r="M123" s="2"/>
      <c r="N123" s="2"/>
      <c r="O123" s="2"/>
    </row>
    <row r="124" spans="1:15" ht="15.95" thickBot="1">
      <c r="D124" s="1"/>
      <c r="E124" s="5" t="s">
        <v>3381</v>
      </c>
      <c r="F124" s="5" t="s">
        <v>2381</v>
      </c>
      <c r="G124" s="2"/>
      <c r="H124" s="2"/>
      <c r="I124" s="2"/>
      <c r="J124" s="2"/>
      <c r="K124" s="2"/>
      <c r="L124" s="2"/>
      <c r="M124" s="2"/>
      <c r="N124" s="2"/>
      <c r="O124" s="2"/>
    </row>
    <row r="125" spans="1:15" ht="15.95" thickBot="1">
      <c r="E125" s="5" t="s">
        <v>3382</v>
      </c>
      <c r="F125" s="5" t="s">
        <v>2381</v>
      </c>
      <c r="G125" s="2"/>
      <c r="H125" s="2"/>
      <c r="I125" s="2"/>
      <c r="J125" s="2"/>
      <c r="K125" s="2"/>
      <c r="L125" s="2"/>
      <c r="M125" s="2"/>
      <c r="N125" s="2"/>
      <c r="O125" s="2"/>
    </row>
    <row r="126" spans="1:15" ht="15.95" thickBot="1">
      <c r="E126" s="5" t="s">
        <v>3383</v>
      </c>
      <c r="F126" s="5" t="s">
        <v>2381</v>
      </c>
      <c r="G126" s="2"/>
      <c r="H126" s="2"/>
      <c r="I126" s="2"/>
      <c r="J126" s="2"/>
      <c r="K126" s="2"/>
      <c r="L126" s="2"/>
      <c r="M126" s="2"/>
      <c r="N126" s="2"/>
      <c r="O126" s="2"/>
    </row>
    <row r="127" spans="1:15" ht="15.95" thickBot="1">
      <c r="E127" s="5" t="s">
        <v>3384</v>
      </c>
      <c r="F127" s="5" t="s">
        <v>2381</v>
      </c>
      <c r="G127" s="2"/>
      <c r="H127" s="2"/>
      <c r="I127" s="2"/>
      <c r="J127" s="2"/>
      <c r="K127" s="2"/>
      <c r="L127" s="2"/>
      <c r="M127" s="2"/>
      <c r="N127" s="2"/>
      <c r="O127" s="2"/>
    </row>
    <row r="128" spans="1:15" ht="15.95" thickBot="1">
      <c r="E128" s="5" t="s">
        <v>3385</v>
      </c>
      <c r="F128" s="5" t="s">
        <v>2381</v>
      </c>
      <c r="G128" s="2"/>
      <c r="H128" s="2"/>
      <c r="I128" s="2"/>
      <c r="J128" s="2"/>
      <c r="K128" s="2"/>
      <c r="L128" s="2"/>
      <c r="M128" s="2"/>
      <c r="N128" s="2"/>
      <c r="O128" s="2"/>
    </row>
    <row r="129" spans="3:15" ht="15.95" thickBot="1">
      <c r="E129" s="5" t="s">
        <v>3386</v>
      </c>
      <c r="F129" s="5" t="s">
        <v>2381</v>
      </c>
      <c r="G129" s="2"/>
      <c r="H129" s="2"/>
      <c r="I129" s="2"/>
      <c r="J129" s="2"/>
      <c r="K129" s="2"/>
      <c r="L129" s="2"/>
      <c r="M129" s="2"/>
      <c r="N129" s="2"/>
      <c r="O129" s="2"/>
    </row>
    <row r="130" spans="3:15" ht="15.95" thickBot="1">
      <c r="E130" s="5" t="s">
        <v>3387</v>
      </c>
      <c r="F130" s="5" t="s">
        <v>2381</v>
      </c>
      <c r="G130" s="2"/>
      <c r="H130" s="2"/>
      <c r="I130" s="2"/>
      <c r="J130" s="2"/>
      <c r="K130" s="2"/>
      <c r="L130" s="2"/>
      <c r="M130" s="2"/>
      <c r="N130" s="2"/>
      <c r="O130" s="2"/>
    </row>
    <row r="131" spans="3:15" ht="15.95" thickBot="1">
      <c r="E131" s="5" t="s">
        <v>3388</v>
      </c>
      <c r="F131" s="5" t="s">
        <v>2381</v>
      </c>
      <c r="G131" s="2"/>
      <c r="H131" s="2"/>
      <c r="I131" s="2"/>
      <c r="J131" s="2"/>
      <c r="K131" s="2"/>
      <c r="L131" s="2"/>
      <c r="M131" s="2"/>
      <c r="N131" s="2"/>
      <c r="O131" s="2"/>
    </row>
    <row r="132" spans="3:15" ht="15.95" thickBot="1">
      <c r="E132" s="5" t="s">
        <v>3389</v>
      </c>
      <c r="F132" s="5" t="s">
        <v>2381</v>
      </c>
      <c r="G132" s="2"/>
      <c r="H132" s="2"/>
      <c r="I132" s="2"/>
      <c r="J132" s="2"/>
      <c r="K132" s="2"/>
      <c r="L132" s="2"/>
      <c r="M132" s="2"/>
      <c r="N132" s="2"/>
      <c r="O132" s="2"/>
    </row>
    <row r="133" spans="3:15" ht="15.95" thickBot="1">
      <c r="E133" s="5" t="s">
        <v>3390</v>
      </c>
      <c r="F133" s="19">
        <v>1</v>
      </c>
      <c r="G133" s="2"/>
      <c r="H133" s="2"/>
      <c r="I133" s="2"/>
      <c r="J133" s="2"/>
      <c r="K133" s="2"/>
      <c r="L133" s="2"/>
      <c r="M133" s="2"/>
      <c r="N133" s="2"/>
      <c r="O133" s="2"/>
    </row>
    <row r="134" spans="3:15" ht="15.95" thickBot="1">
      <c r="E134" s="5" t="s">
        <v>3391</v>
      </c>
      <c r="F134" s="19">
        <v>1</v>
      </c>
      <c r="G134" s="2"/>
      <c r="H134" s="2"/>
      <c r="I134" s="2"/>
      <c r="J134" s="2"/>
      <c r="K134" s="2"/>
      <c r="L134" s="2"/>
      <c r="M134" s="2"/>
      <c r="N134" s="2"/>
      <c r="O134" s="2"/>
    </row>
    <row r="135" spans="3:15" ht="15.95" thickBot="1">
      <c r="E135" s="5" t="s">
        <v>3392</v>
      </c>
      <c r="F135" s="5" t="s">
        <v>2381</v>
      </c>
      <c r="G135" s="2"/>
      <c r="H135" s="2"/>
      <c r="I135" s="2"/>
      <c r="J135" s="2"/>
      <c r="K135" s="2"/>
      <c r="L135" s="2"/>
      <c r="M135" s="2"/>
      <c r="N135" s="2"/>
      <c r="O135" s="2"/>
    </row>
    <row r="136" spans="3:15" ht="15.6">
      <c r="E136" s="1"/>
      <c r="F136" s="1"/>
      <c r="G136" s="2"/>
      <c r="H136" s="2"/>
      <c r="I136" s="2"/>
      <c r="J136" s="2"/>
      <c r="K136" s="2"/>
      <c r="L136" s="2"/>
      <c r="M136" s="2"/>
      <c r="N136" s="2"/>
      <c r="O136" s="2"/>
    </row>
    <row r="137" spans="3:15" ht="15.6">
      <c r="C137" s="6" t="s">
        <v>3393</v>
      </c>
      <c r="E137" s="17" t="s">
        <v>3394</v>
      </c>
      <c r="F137" s="2"/>
      <c r="G137" s="2"/>
      <c r="H137" s="2"/>
      <c r="I137" s="2"/>
      <c r="J137" s="2"/>
      <c r="K137" s="2"/>
      <c r="L137" s="2"/>
      <c r="M137" s="2"/>
      <c r="N137" s="2"/>
      <c r="O137" s="2"/>
    </row>
    <row r="138" spans="3:15" ht="15.6">
      <c r="E138" s="17" t="s">
        <v>3395</v>
      </c>
      <c r="F138" s="2"/>
      <c r="G138" s="2"/>
      <c r="H138" s="2"/>
      <c r="I138" s="2"/>
      <c r="J138" s="2"/>
      <c r="K138" s="2"/>
      <c r="L138" s="2"/>
      <c r="M138" s="2"/>
      <c r="N138" s="2"/>
      <c r="O138" s="2"/>
    </row>
    <row r="139" spans="3:15" ht="15.6">
      <c r="E139" s="17" t="s">
        <v>3396</v>
      </c>
      <c r="F139" s="2"/>
      <c r="G139" s="2"/>
      <c r="H139" s="2"/>
      <c r="I139" s="2"/>
      <c r="J139" s="2"/>
      <c r="K139" s="2"/>
      <c r="L139" s="2"/>
      <c r="M139" s="2"/>
      <c r="N139" s="2"/>
      <c r="O139" s="2"/>
    </row>
    <row r="140" spans="3:15" ht="15.6">
      <c r="E140" s="17" t="s">
        <v>3397</v>
      </c>
      <c r="F140" s="2"/>
      <c r="G140" s="2"/>
      <c r="H140" s="2"/>
      <c r="I140" s="2"/>
      <c r="J140" s="2"/>
      <c r="K140" s="2"/>
      <c r="L140" s="2"/>
      <c r="M140" s="2"/>
      <c r="N140" s="2"/>
      <c r="O140" s="2"/>
    </row>
    <row r="141" spans="3:15" ht="15.6">
      <c r="E141" s="17" t="s">
        <v>3398</v>
      </c>
      <c r="F141" s="2"/>
      <c r="G141" s="2"/>
      <c r="H141" s="2"/>
      <c r="I141" s="2"/>
      <c r="J141" s="2"/>
      <c r="K141" s="2"/>
      <c r="L141" s="2"/>
      <c r="M141" s="2"/>
      <c r="N141" s="2"/>
      <c r="O141" s="2"/>
    </row>
    <row r="142" spans="3:15" ht="15.6">
      <c r="E142" s="17" t="s">
        <v>3399</v>
      </c>
      <c r="F142" s="2"/>
      <c r="G142" s="2"/>
      <c r="H142" s="2"/>
      <c r="I142" s="2"/>
      <c r="J142" s="2"/>
      <c r="K142" s="2"/>
      <c r="L142" s="2"/>
      <c r="M142" s="2"/>
      <c r="N142" s="2"/>
      <c r="O142" s="2"/>
    </row>
    <row r="143" spans="3:15" ht="15.6">
      <c r="E143" s="17" t="s">
        <v>3400</v>
      </c>
      <c r="F143" s="2"/>
      <c r="G143" s="2"/>
      <c r="H143" s="2"/>
      <c r="I143" s="2"/>
      <c r="J143" s="2"/>
      <c r="K143" s="2"/>
      <c r="L143" s="2"/>
      <c r="M143" s="2"/>
      <c r="N143" s="2"/>
      <c r="O143" s="2"/>
    </row>
    <row r="144" spans="3:15" ht="15.6">
      <c r="E144" s="17" t="s">
        <v>3401</v>
      </c>
      <c r="F144" s="2"/>
      <c r="G144" s="2"/>
      <c r="H144" s="2"/>
      <c r="I144" s="2"/>
      <c r="J144" s="2"/>
      <c r="K144" s="2"/>
      <c r="L144" s="2"/>
      <c r="M144" s="2"/>
      <c r="N144" s="2"/>
      <c r="O144" s="2"/>
    </row>
    <row r="145" spans="4:15" ht="15.6">
      <c r="E145" s="17" t="s">
        <v>3402</v>
      </c>
      <c r="F145" s="2"/>
      <c r="G145" s="2"/>
      <c r="H145" s="2"/>
      <c r="I145" s="2"/>
      <c r="J145" s="2"/>
      <c r="K145" s="2"/>
      <c r="L145" s="2"/>
      <c r="M145" s="2"/>
      <c r="N145" s="2"/>
      <c r="O145" s="2"/>
    </row>
    <row r="146" spans="4:15" ht="15.6">
      <c r="E146" s="17" t="s">
        <v>3403</v>
      </c>
      <c r="F146" s="2"/>
      <c r="G146" s="2"/>
      <c r="H146" s="2"/>
      <c r="I146" s="2"/>
      <c r="J146" s="2"/>
      <c r="K146" s="2"/>
      <c r="L146" s="2"/>
      <c r="M146" s="2"/>
      <c r="N146" s="2"/>
      <c r="O146" s="2"/>
    </row>
    <row r="147" spans="4:15" ht="15.6">
      <c r="E147" s="2"/>
      <c r="F147" s="2"/>
      <c r="G147" s="2"/>
      <c r="H147" s="2"/>
      <c r="I147" s="2"/>
      <c r="J147" s="2"/>
      <c r="K147" s="2"/>
      <c r="L147" s="2"/>
      <c r="M147" s="2"/>
      <c r="N147" s="2"/>
      <c r="O147" s="2"/>
    </row>
    <row r="148" spans="4:15" ht="15.6">
      <c r="E148" s="2"/>
      <c r="F148" s="2"/>
      <c r="G148" s="2"/>
      <c r="H148" s="2"/>
      <c r="I148" s="2"/>
      <c r="J148" s="2"/>
      <c r="K148" s="2"/>
      <c r="L148" s="2"/>
      <c r="M148" s="2"/>
      <c r="N148" s="2"/>
      <c r="O148" s="2"/>
    </row>
    <row r="149" spans="4:15" ht="15.6">
      <c r="E149" s="2"/>
      <c r="F149" s="2"/>
      <c r="G149" s="2"/>
      <c r="H149" s="2"/>
      <c r="I149" s="2"/>
      <c r="J149" s="2"/>
      <c r="K149" s="2"/>
      <c r="L149" s="2"/>
      <c r="M149" s="2"/>
      <c r="N149" s="2"/>
      <c r="O149" s="2"/>
    </row>
    <row r="150" spans="4:15" ht="15.6">
      <c r="E150" s="2"/>
      <c r="F150" s="2"/>
      <c r="G150" s="2"/>
      <c r="H150" s="2"/>
      <c r="I150" s="2"/>
      <c r="J150" s="2"/>
      <c r="K150" s="2"/>
      <c r="L150" s="2"/>
      <c r="M150" s="2"/>
      <c r="N150" s="2"/>
      <c r="O150" s="2"/>
    </row>
    <row r="151" spans="4:15" ht="15.6">
      <c r="E151" s="2"/>
      <c r="F151" s="2"/>
      <c r="G151" s="2"/>
      <c r="H151" s="2"/>
      <c r="I151" s="2"/>
      <c r="J151" s="2"/>
      <c r="K151" s="2"/>
      <c r="L151" s="2"/>
      <c r="M151" s="2"/>
      <c r="N151" s="2"/>
      <c r="O151" s="2"/>
    </row>
    <row r="152" spans="4:15" ht="15.6">
      <c r="E152" s="2"/>
      <c r="F152" s="2"/>
      <c r="G152" s="2"/>
      <c r="H152" s="2"/>
      <c r="I152" s="2"/>
      <c r="J152" s="2"/>
      <c r="K152" s="2"/>
      <c r="L152" s="2"/>
      <c r="M152" s="2"/>
      <c r="N152" s="2"/>
      <c r="O152" s="2"/>
    </row>
    <row r="153" spans="4:15" ht="15.6">
      <c r="E153" s="2"/>
      <c r="F153" s="2"/>
      <c r="G153" s="2"/>
      <c r="H153" s="2"/>
      <c r="I153" s="2"/>
      <c r="J153" s="2"/>
      <c r="K153" s="2"/>
      <c r="L153" s="2"/>
      <c r="M153" s="2"/>
      <c r="N153" s="2"/>
      <c r="O153" s="2"/>
    </row>
    <row r="154" spans="4:15" ht="15.6">
      <c r="E154" s="2"/>
      <c r="F154" s="2"/>
      <c r="G154" s="2"/>
      <c r="H154" s="2"/>
      <c r="I154" s="2"/>
      <c r="J154" s="2"/>
      <c r="K154" s="2"/>
      <c r="L154" s="2"/>
      <c r="M154" s="2"/>
      <c r="N154" s="2"/>
      <c r="O154" s="2"/>
    </row>
    <row r="155" spans="4:15" ht="15.6">
      <c r="E155" s="2"/>
      <c r="F155" s="2"/>
      <c r="G155" s="2"/>
      <c r="H155" s="2"/>
      <c r="I155" s="2"/>
      <c r="J155" s="2"/>
      <c r="K155" s="2"/>
      <c r="L155" s="2"/>
      <c r="M155" s="2"/>
      <c r="N155" s="2"/>
      <c r="O155" s="2"/>
    </row>
    <row r="156" spans="4:15" ht="15.6">
      <c r="E156" s="2"/>
      <c r="F156" s="2"/>
      <c r="G156" s="2"/>
      <c r="H156" s="2"/>
      <c r="I156" s="2"/>
      <c r="J156" s="2"/>
      <c r="K156" s="2"/>
      <c r="L156" s="2"/>
      <c r="M156" s="2"/>
      <c r="N156" s="2"/>
      <c r="O156" s="2"/>
    </row>
    <row r="157" spans="4:15" ht="15.6">
      <c r="D157" s="1"/>
      <c r="E157" s="2"/>
      <c r="F157" s="2"/>
      <c r="G157" s="2"/>
      <c r="H157" s="2"/>
      <c r="I157" s="2"/>
      <c r="J157" s="2"/>
      <c r="K157" s="2"/>
      <c r="L157" s="2"/>
      <c r="M157" s="2"/>
      <c r="N157" s="2"/>
      <c r="O157" s="2"/>
    </row>
    <row r="158" spans="4:15" ht="15.6">
      <c r="D158" s="2"/>
      <c r="E158" s="2"/>
      <c r="F158" s="2"/>
      <c r="G158" s="2"/>
      <c r="H158" s="2"/>
      <c r="I158" s="2"/>
      <c r="J158" s="2"/>
      <c r="K158" s="2"/>
      <c r="L158" s="2"/>
      <c r="M158" s="2"/>
      <c r="N158" s="2"/>
      <c r="O158" s="2"/>
    </row>
    <row r="159" spans="4:15" ht="15.6">
      <c r="D159" s="1"/>
      <c r="E159" s="2"/>
      <c r="F159" s="2"/>
      <c r="G159" s="2"/>
      <c r="H159" s="2"/>
      <c r="I159" s="2"/>
      <c r="J159" s="2"/>
      <c r="K159" s="2"/>
      <c r="L159" s="2"/>
      <c r="M159" s="2"/>
      <c r="N159" s="2"/>
      <c r="O159" s="2"/>
    </row>
    <row r="160" spans="4:15" ht="15.6">
      <c r="D160" s="3" t="s">
        <v>3404</v>
      </c>
      <c r="E160" s="2"/>
      <c r="F160" s="2"/>
      <c r="G160" s="2"/>
      <c r="H160" s="2"/>
      <c r="I160" s="2"/>
      <c r="J160" s="2"/>
      <c r="K160" s="2"/>
      <c r="L160" s="2"/>
      <c r="M160" s="2"/>
      <c r="N160" s="2"/>
      <c r="O160" s="2"/>
    </row>
    <row r="161" spans="4:15" ht="15.6">
      <c r="D161" s="1"/>
      <c r="E161" s="2"/>
      <c r="F161" s="2"/>
      <c r="G161" s="2"/>
      <c r="H161" s="2"/>
      <c r="I161" s="2"/>
      <c r="J161" s="2"/>
      <c r="K161" s="2"/>
      <c r="L161" s="2"/>
      <c r="M161" s="2"/>
      <c r="N161" s="2"/>
      <c r="O161" s="2"/>
    </row>
    <row r="162" spans="4:15" ht="15.6">
      <c r="D162" s="1" t="s">
        <v>3405</v>
      </c>
      <c r="E162" s="2"/>
      <c r="F162" s="2"/>
      <c r="G162" s="2"/>
      <c r="H162" s="2"/>
      <c r="I162" s="2"/>
      <c r="J162" s="2"/>
      <c r="K162" s="2"/>
      <c r="L162" s="2"/>
      <c r="M162" s="2"/>
      <c r="N162" s="2"/>
      <c r="O162" s="2"/>
    </row>
    <row r="163" spans="4:15" ht="15.95" thickBot="1">
      <c r="D163" s="1"/>
      <c r="E163" s="2"/>
      <c r="F163" s="2"/>
      <c r="G163" s="2"/>
      <c r="H163" s="2"/>
      <c r="I163" s="2"/>
      <c r="J163" s="2"/>
      <c r="K163" s="2"/>
      <c r="L163" s="2"/>
      <c r="M163" s="2"/>
      <c r="N163" s="2"/>
      <c r="O163" s="2"/>
    </row>
    <row r="164" spans="4:15" ht="15.95" thickBot="1">
      <c r="D164" s="4" t="s">
        <v>818</v>
      </c>
      <c r="E164" s="4" t="s">
        <v>3406</v>
      </c>
      <c r="F164" s="4" t="s">
        <v>2193</v>
      </c>
      <c r="G164" s="4" t="s">
        <v>1626</v>
      </c>
      <c r="H164" s="4" t="s">
        <v>2195</v>
      </c>
      <c r="I164" s="4" t="s">
        <v>2196</v>
      </c>
      <c r="J164" s="4" t="s">
        <v>3407</v>
      </c>
      <c r="K164" s="4" t="s">
        <v>143</v>
      </c>
      <c r="L164" s="4" t="s">
        <v>3408</v>
      </c>
      <c r="M164" s="4" t="s">
        <v>2281</v>
      </c>
      <c r="N164" s="4" t="s">
        <v>2283</v>
      </c>
      <c r="O164" s="4" t="s">
        <v>2945</v>
      </c>
    </row>
    <row r="165" spans="4:15" ht="15.95" thickBot="1">
      <c r="D165" s="5" t="s">
        <v>3409</v>
      </c>
      <c r="E165" s="5" t="s">
        <v>3410</v>
      </c>
      <c r="F165" s="5" t="s">
        <v>3411</v>
      </c>
      <c r="G165" s="5" t="s">
        <v>3068</v>
      </c>
      <c r="H165" s="5" t="s">
        <v>3069</v>
      </c>
      <c r="I165" s="5" t="s">
        <v>3070</v>
      </c>
      <c r="J165" s="5" t="s">
        <v>3412</v>
      </c>
      <c r="K165" s="5" t="s">
        <v>3120</v>
      </c>
      <c r="L165" s="5" t="s">
        <v>2056</v>
      </c>
      <c r="M165" s="5" t="s">
        <v>3138</v>
      </c>
      <c r="N165" s="5" t="s">
        <v>3413</v>
      </c>
      <c r="O165" s="5" t="s">
        <v>3414</v>
      </c>
    </row>
    <row r="166" spans="4:15" ht="15.95" thickBot="1">
      <c r="D166" s="5" t="s">
        <v>3409</v>
      </c>
      <c r="E166" s="5" t="s">
        <v>3410</v>
      </c>
      <c r="F166" s="5" t="s">
        <v>3411</v>
      </c>
      <c r="G166" s="5" t="s">
        <v>3073</v>
      </c>
      <c r="H166" s="5" t="s">
        <v>3074</v>
      </c>
      <c r="I166" s="5" t="s">
        <v>3075</v>
      </c>
      <c r="J166" s="5" t="s">
        <v>3415</v>
      </c>
      <c r="K166" s="5" t="s">
        <v>3122</v>
      </c>
      <c r="L166" s="5" t="s">
        <v>2059</v>
      </c>
      <c r="M166" s="5" t="s">
        <v>2063</v>
      </c>
      <c r="N166" s="5" t="s">
        <v>3416</v>
      </c>
      <c r="O166" s="5" t="s">
        <v>3417</v>
      </c>
    </row>
    <row r="167" spans="4:15" ht="15.95" thickBot="1">
      <c r="D167" s="5" t="s">
        <v>3409</v>
      </c>
      <c r="E167" s="5" t="s">
        <v>3410</v>
      </c>
      <c r="F167" s="5" t="s">
        <v>3411</v>
      </c>
      <c r="G167" s="5" t="s">
        <v>3078</v>
      </c>
      <c r="H167" s="5" t="s">
        <v>3418</v>
      </c>
      <c r="I167" s="5" t="s">
        <v>3419</v>
      </c>
      <c r="J167" s="5" t="s">
        <v>3420</v>
      </c>
      <c r="K167" s="5" t="s">
        <v>1448</v>
      </c>
      <c r="L167" s="19">
        <v>-0.25</v>
      </c>
      <c r="M167" s="5" t="s">
        <v>3421</v>
      </c>
      <c r="N167" s="5" t="s">
        <v>3422</v>
      </c>
      <c r="O167" s="5" t="s">
        <v>3423</v>
      </c>
    </row>
    <row r="168" spans="4:15" ht="15.95" thickBot="1">
      <c r="D168" s="5" t="s">
        <v>3409</v>
      </c>
      <c r="E168" s="5" t="s">
        <v>3410</v>
      </c>
      <c r="F168" s="5" t="s">
        <v>3424</v>
      </c>
      <c r="G168" s="5" t="s">
        <v>3154</v>
      </c>
      <c r="H168" s="5" t="s">
        <v>3155</v>
      </c>
      <c r="I168" s="5" t="s">
        <v>3156</v>
      </c>
      <c r="J168" s="5" t="s">
        <v>3425</v>
      </c>
      <c r="K168" s="5" t="s">
        <v>1427</v>
      </c>
      <c r="L168" s="19">
        <v>-0.2</v>
      </c>
      <c r="M168" s="5" t="s">
        <v>3426</v>
      </c>
      <c r="N168" s="5" t="s">
        <v>3427</v>
      </c>
      <c r="O168" s="5" t="s">
        <v>3428</v>
      </c>
    </row>
    <row r="169" spans="4:15" ht="15.95" thickBot="1">
      <c r="D169" s="5" t="s">
        <v>3409</v>
      </c>
      <c r="E169" s="5" t="s">
        <v>3410</v>
      </c>
      <c r="F169" s="5" t="s">
        <v>3424</v>
      </c>
      <c r="G169" s="5" t="s">
        <v>3159</v>
      </c>
      <c r="H169" s="5" t="s">
        <v>3161</v>
      </c>
      <c r="I169" s="5" t="s">
        <v>3160</v>
      </c>
      <c r="J169" s="5" t="s">
        <v>3429</v>
      </c>
      <c r="K169" s="5" t="s">
        <v>1432</v>
      </c>
      <c r="L169" s="19">
        <v>0.15</v>
      </c>
      <c r="M169" s="5" t="s">
        <v>3430</v>
      </c>
      <c r="N169" s="5" t="s">
        <v>3431</v>
      </c>
      <c r="O169" s="5" t="s">
        <v>3432</v>
      </c>
    </row>
    <row r="170" spans="4:15" ht="15.95" thickBot="1">
      <c r="D170" s="5" t="s">
        <v>3409</v>
      </c>
      <c r="E170" s="5" t="s">
        <v>3410</v>
      </c>
      <c r="F170" s="5" t="s">
        <v>3424</v>
      </c>
      <c r="G170" s="5" t="s">
        <v>3164</v>
      </c>
      <c r="H170" s="5" t="s">
        <v>3165</v>
      </c>
      <c r="I170" s="5" t="s">
        <v>3166</v>
      </c>
      <c r="J170" s="5" t="s">
        <v>3433</v>
      </c>
      <c r="K170" s="5" t="s">
        <v>3208</v>
      </c>
      <c r="L170" s="19">
        <v>0.15</v>
      </c>
      <c r="M170" s="5" t="s">
        <v>3434</v>
      </c>
      <c r="N170" s="5" t="s">
        <v>3435</v>
      </c>
      <c r="O170" s="5" t="s">
        <v>3436</v>
      </c>
    </row>
    <row r="171" spans="4:15" ht="15.95" thickBot="1">
      <c r="D171" s="5" t="s">
        <v>3409</v>
      </c>
      <c r="E171" s="5" t="s">
        <v>3410</v>
      </c>
      <c r="F171" s="5" t="s">
        <v>3437</v>
      </c>
      <c r="G171" s="5" t="s">
        <v>3248</v>
      </c>
      <c r="H171" s="5" t="s">
        <v>3249</v>
      </c>
      <c r="I171" s="5" t="s">
        <v>3250</v>
      </c>
      <c r="J171" s="5" t="s">
        <v>3438</v>
      </c>
      <c r="K171" s="5" t="s">
        <v>1697</v>
      </c>
      <c r="L171" s="19">
        <v>1</v>
      </c>
      <c r="M171" s="5" t="s">
        <v>3439</v>
      </c>
      <c r="N171" s="5" t="s">
        <v>3440</v>
      </c>
      <c r="O171" s="5" t="s">
        <v>3441</v>
      </c>
    </row>
    <row r="172" spans="4:15" ht="15.95" thickBot="1">
      <c r="D172" s="5" t="s">
        <v>3409</v>
      </c>
      <c r="E172" s="5" t="s">
        <v>3410</v>
      </c>
      <c r="F172" s="5" t="s">
        <v>3437</v>
      </c>
      <c r="G172" s="5" t="s">
        <v>2831</v>
      </c>
      <c r="H172" s="5" t="s">
        <v>3263</v>
      </c>
      <c r="I172" s="5" t="s">
        <v>3264</v>
      </c>
      <c r="J172" s="5" t="s">
        <v>3442</v>
      </c>
      <c r="K172" s="5" t="s">
        <v>3443</v>
      </c>
      <c r="L172" s="5" t="s">
        <v>1060</v>
      </c>
      <c r="M172" s="5" t="s">
        <v>3444</v>
      </c>
      <c r="N172" s="5" t="s">
        <v>3445</v>
      </c>
      <c r="O172" s="5" t="s">
        <v>3337</v>
      </c>
    </row>
    <row r="173" spans="4:15" ht="15.95" thickBot="1">
      <c r="D173" s="5" t="s">
        <v>3409</v>
      </c>
      <c r="E173" s="5" t="s">
        <v>3410</v>
      </c>
      <c r="F173" s="5" t="s">
        <v>3437</v>
      </c>
      <c r="G173" s="5" t="s">
        <v>3266</v>
      </c>
      <c r="H173" s="5" t="s">
        <v>3267</v>
      </c>
      <c r="I173" s="5" t="s">
        <v>3268</v>
      </c>
      <c r="J173" s="5" t="s">
        <v>3446</v>
      </c>
      <c r="K173" s="5" t="s">
        <v>3447</v>
      </c>
      <c r="L173" s="19">
        <v>-0.3</v>
      </c>
      <c r="M173" s="5" t="s">
        <v>3448</v>
      </c>
      <c r="N173" s="5" t="s">
        <v>3449</v>
      </c>
      <c r="O173" s="5" t="s">
        <v>3450</v>
      </c>
    </row>
    <row r="174" spans="4:15" ht="15.6">
      <c r="D174" s="1"/>
      <c r="E174" s="2"/>
      <c r="F174" s="2"/>
      <c r="G174" s="2"/>
      <c r="H174" s="2"/>
      <c r="I174" s="2"/>
      <c r="J174" s="2"/>
      <c r="K174" s="2"/>
      <c r="L174" s="2"/>
      <c r="M174" s="2"/>
      <c r="N174" s="2"/>
      <c r="O174" s="2"/>
    </row>
    <row r="175" spans="4:15" ht="15.6">
      <c r="D175" s="1" t="s">
        <v>3451</v>
      </c>
      <c r="E175" s="2"/>
      <c r="F175" s="2"/>
      <c r="G175" s="2"/>
      <c r="H175" s="2"/>
      <c r="I175" s="2"/>
      <c r="J175" s="2"/>
      <c r="K175" s="2"/>
      <c r="L175" s="2"/>
      <c r="M175" s="2"/>
      <c r="N175" s="2"/>
      <c r="O175" s="2"/>
    </row>
    <row r="177" spans="1:15" ht="15.95">
      <c r="D177" s="359" t="s">
        <v>2404</v>
      </c>
      <c r="E177" s="359"/>
      <c r="F177" s="359"/>
      <c r="G177" s="359"/>
      <c r="H177" s="359"/>
      <c r="I177" s="359"/>
      <c r="J177" s="359"/>
    </row>
    <row r="178" spans="1:15">
      <c r="D178" s="95" t="s">
        <v>1992</v>
      </c>
      <c r="E178" s="95" t="s">
        <v>2405</v>
      </c>
      <c r="F178" s="95" t="s">
        <v>2406</v>
      </c>
      <c r="G178" s="95" t="s">
        <v>2407</v>
      </c>
      <c r="H178" s="95" t="s">
        <v>996</v>
      </c>
      <c r="I178" s="95" t="s">
        <v>823</v>
      </c>
      <c r="J178" s="95" t="s">
        <v>537</v>
      </c>
    </row>
    <row r="179" spans="1:15" ht="24">
      <c r="D179" s="87" t="s">
        <v>3452</v>
      </c>
      <c r="E179" s="85" t="s">
        <v>3453</v>
      </c>
      <c r="F179" s="85" t="s">
        <v>3454</v>
      </c>
      <c r="G179" s="85" t="s">
        <v>3455</v>
      </c>
      <c r="H179" s="85" t="s">
        <v>3456</v>
      </c>
      <c r="I179" s="85" t="s">
        <v>3457</v>
      </c>
      <c r="J179" s="99" t="s">
        <v>2414</v>
      </c>
    </row>
    <row r="180" spans="1:15" ht="36">
      <c r="D180" s="87" t="s">
        <v>3458</v>
      </c>
      <c r="E180" s="85" t="s">
        <v>3459</v>
      </c>
      <c r="F180" s="85" t="s">
        <v>3460</v>
      </c>
      <c r="G180" s="85" t="s">
        <v>3461</v>
      </c>
      <c r="H180" s="85" t="s">
        <v>3462</v>
      </c>
      <c r="I180" s="85" t="s">
        <v>3463</v>
      </c>
      <c r="J180" s="99" t="s">
        <v>2414</v>
      </c>
    </row>
    <row r="181" spans="1:15" ht="36">
      <c r="D181" s="87" t="s">
        <v>3156</v>
      </c>
      <c r="E181" s="85" t="s">
        <v>3464</v>
      </c>
      <c r="F181" s="85" t="s">
        <v>3465</v>
      </c>
      <c r="G181" s="85" t="s">
        <v>3466</v>
      </c>
      <c r="H181" s="85" t="s">
        <v>3467</v>
      </c>
      <c r="I181" s="85" t="s">
        <v>3468</v>
      </c>
      <c r="J181" s="99" t="s">
        <v>2414</v>
      </c>
    </row>
    <row r="182" spans="1:15" ht="24">
      <c r="D182" s="87" t="s">
        <v>3469</v>
      </c>
      <c r="E182" s="85" t="s">
        <v>3470</v>
      </c>
      <c r="F182" s="85" t="s">
        <v>3471</v>
      </c>
      <c r="G182" s="85" t="s">
        <v>3472</v>
      </c>
      <c r="H182" s="85" t="s">
        <v>3473</v>
      </c>
      <c r="I182" s="85" t="s">
        <v>3474</v>
      </c>
      <c r="J182" s="99" t="s">
        <v>2414</v>
      </c>
    </row>
    <row r="183" spans="1:15" ht="24">
      <c r="D183" s="87" t="s">
        <v>3475</v>
      </c>
      <c r="E183" s="85" t="s">
        <v>3476</v>
      </c>
      <c r="F183" s="85" t="s">
        <v>3477</v>
      </c>
      <c r="G183" s="85" t="s">
        <v>3478</v>
      </c>
      <c r="H183" s="85" t="s">
        <v>3479</v>
      </c>
      <c r="I183" s="85" t="s">
        <v>3480</v>
      </c>
      <c r="J183" s="99" t="s">
        <v>2414</v>
      </c>
    </row>
    <row r="184" spans="1:15" ht="24">
      <c r="D184" s="87" t="s">
        <v>3238</v>
      </c>
      <c r="E184" s="85" t="s">
        <v>3481</v>
      </c>
      <c r="F184" s="85" t="s">
        <v>3482</v>
      </c>
      <c r="G184" s="85" t="s">
        <v>3483</v>
      </c>
      <c r="H184" s="85" t="s">
        <v>3484</v>
      </c>
      <c r="I184" s="85" t="s">
        <v>3485</v>
      </c>
      <c r="J184" s="99" t="s">
        <v>2414</v>
      </c>
    </row>
    <row r="185" spans="1:15" ht="24">
      <c r="D185" s="87" t="s">
        <v>3486</v>
      </c>
      <c r="E185" s="85" t="s">
        <v>3487</v>
      </c>
      <c r="F185" s="85" t="s">
        <v>3488</v>
      </c>
      <c r="G185" s="85" t="s">
        <v>3489</v>
      </c>
      <c r="H185" s="85" t="s">
        <v>3490</v>
      </c>
      <c r="I185" s="85" t="s">
        <v>3491</v>
      </c>
      <c r="J185" s="99" t="s">
        <v>2414</v>
      </c>
    </row>
    <row r="187" spans="1:15">
      <c r="D187" s="328" t="s">
        <v>2437</v>
      </c>
      <c r="E187" s="328"/>
      <c r="F187" s="328"/>
      <c r="G187" s="328"/>
      <c r="H187" s="328"/>
      <c r="I187" s="328"/>
      <c r="J187" s="328"/>
    </row>
    <row r="188" spans="1:15">
      <c r="D188" s="57" t="s">
        <v>2438</v>
      </c>
      <c r="E188" s="57" t="s">
        <v>2405</v>
      </c>
      <c r="F188" s="57" t="s">
        <v>2406</v>
      </c>
      <c r="G188" s="57" t="s">
        <v>2407</v>
      </c>
      <c r="H188" s="57" t="s">
        <v>917</v>
      </c>
      <c r="I188" s="57" t="s">
        <v>823</v>
      </c>
      <c r="J188" s="57" t="s">
        <v>537</v>
      </c>
    </row>
    <row r="189" spans="1:15" ht="43.5">
      <c r="D189" s="57" t="s">
        <v>3492</v>
      </c>
      <c r="E189" s="57" t="s">
        <v>3493</v>
      </c>
      <c r="F189" s="57" t="s">
        <v>3494</v>
      </c>
      <c r="G189" s="57" t="s">
        <v>3495</v>
      </c>
      <c r="H189" s="57" t="s">
        <v>3496</v>
      </c>
      <c r="I189" s="57" t="s">
        <v>3497</v>
      </c>
      <c r="J189" s="57" t="s">
        <v>2445</v>
      </c>
    </row>
    <row r="191" spans="1:15">
      <c r="A191" s="355" t="s">
        <v>2446</v>
      </c>
      <c r="B191" s="358"/>
      <c r="C191" s="358"/>
      <c r="D191" s="358"/>
      <c r="E191" s="358"/>
      <c r="F191" s="358"/>
      <c r="G191" s="358"/>
      <c r="H191" s="358"/>
      <c r="I191" s="358"/>
      <c r="J191" s="358"/>
      <c r="K191" s="358"/>
      <c r="L191" s="358"/>
      <c r="M191" s="358"/>
      <c r="N191" s="358"/>
      <c r="O191" s="358"/>
    </row>
    <row r="192" spans="1:15" ht="43.5">
      <c r="A192" s="285" t="s">
        <v>2008</v>
      </c>
      <c r="B192" s="285" t="s">
        <v>2009</v>
      </c>
      <c r="C192" s="285"/>
      <c r="D192" s="285" t="s">
        <v>2010</v>
      </c>
      <c r="E192" s="285"/>
      <c r="F192" s="285" t="s">
        <v>2011</v>
      </c>
      <c r="G192" s="285"/>
      <c r="H192" s="285" t="s">
        <v>2012</v>
      </c>
      <c r="I192" s="285"/>
      <c r="J192" s="285" t="s">
        <v>2013</v>
      </c>
      <c r="K192" s="285"/>
      <c r="L192" s="285"/>
      <c r="M192" s="285"/>
      <c r="N192" s="285"/>
      <c r="O192" s="285"/>
    </row>
    <row r="193" spans="1:15" ht="246.6">
      <c r="A193" s="262" t="s">
        <v>837</v>
      </c>
      <c r="B193" s="262" t="s">
        <v>2082</v>
      </c>
      <c r="C193" s="262"/>
      <c r="D193" s="262" t="s">
        <v>2083</v>
      </c>
      <c r="E193" s="262"/>
      <c r="F193" s="262" t="s">
        <v>2084</v>
      </c>
      <c r="G193" s="262"/>
      <c r="H193" s="262" t="s">
        <v>2085</v>
      </c>
      <c r="I193" s="262"/>
      <c r="J193" s="262" t="s">
        <v>968</v>
      </c>
      <c r="K193" s="262"/>
      <c r="L193" s="262"/>
      <c r="M193" s="262"/>
      <c r="N193" s="262"/>
      <c r="O193" s="262"/>
    </row>
  </sheetData>
  <mergeCells count="3">
    <mergeCell ref="D177:J177"/>
    <mergeCell ref="D187:J187"/>
    <mergeCell ref="A191:O191"/>
  </mergeCells>
  <pageMargins left="0.7" right="0.7" top="0.75" bottom="0.75" header="0.3" footer="0.3"/>
  <pageSetup orientation="portrait" r:id="rId1"/>
  <headerFooter>
    <oddFooter>&amp;L_x000D_&amp;1#&amp;"Aptos"&amp;10&amp;K000000 Confidential-Internal</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BAAFD-8DCD-48B2-B8D6-E7BF7DAF51C8}">
  <dimension ref="A1:J175"/>
  <sheetViews>
    <sheetView topLeftCell="C165" workbookViewId="0">
      <selection activeCell="I11" sqref="I11:J11"/>
    </sheetView>
  </sheetViews>
  <sheetFormatPr defaultColWidth="23.5703125" defaultRowHeight="15.6"/>
  <cols>
    <col min="1" max="3" width="23.5703125" style="2"/>
    <col min="4" max="4" width="24.5703125" style="2" customWidth="1"/>
    <col min="5" max="5" width="34.5703125" style="2" customWidth="1"/>
    <col min="6" max="6" width="36.42578125" style="2" customWidth="1"/>
    <col min="7" max="7" width="28.140625" style="2" customWidth="1"/>
    <col min="8" max="9" width="26.42578125" style="2" customWidth="1"/>
    <col min="10" max="10" width="13.5703125" style="2" customWidth="1"/>
    <col min="11" max="16384" width="23.5703125" style="2"/>
  </cols>
  <sheetData>
    <row r="1" spans="1:10">
      <c r="A1" s="1" t="s">
        <v>3498</v>
      </c>
    </row>
    <row r="2" spans="1:10">
      <c r="A2" s="1"/>
    </row>
    <row r="3" spans="1:10" ht="15.95" thickBot="1"/>
    <row r="4" spans="1:10" ht="15.95" thickBot="1">
      <c r="A4" s="1"/>
      <c r="C4" s="6" t="s">
        <v>2192</v>
      </c>
      <c r="D4" s="23" t="s">
        <v>2193</v>
      </c>
      <c r="E4" s="6" t="s">
        <v>2194</v>
      </c>
      <c r="F4" s="7" t="s">
        <v>1626</v>
      </c>
      <c r="G4" s="7" t="s">
        <v>2195</v>
      </c>
      <c r="H4" s="7" t="s">
        <v>2196</v>
      </c>
      <c r="I4" s="7" t="s">
        <v>2299</v>
      </c>
      <c r="J4" s="7" t="s">
        <v>2198</v>
      </c>
    </row>
    <row r="5" spans="1:10" ht="15.95" thickBot="1">
      <c r="A5" s="3" t="s">
        <v>3499</v>
      </c>
      <c r="B5" s="3" t="s">
        <v>3500</v>
      </c>
      <c r="C5" s="1" t="s">
        <v>3501</v>
      </c>
      <c r="D5" s="3" t="s">
        <v>3502</v>
      </c>
      <c r="E5" s="1" t="s">
        <v>3503</v>
      </c>
      <c r="F5" s="5" t="s">
        <v>3504</v>
      </c>
      <c r="G5" s="5" t="s">
        <v>3505</v>
      </c>
      <c r="H5" s="5" t="s">
        <v>3506</v>
      </c>
      <c r="I5" s="5" t="s">
        <v>3507</v>
      </c>
      <c r="J5" s="5" t="s">
        <v>3508</v>
      </c>
    </row>
    <row r="6" spans="1:10" ht="15.95" thickBot="1">
      <c r="A6" s="1"/>
      <c r="F6" s="5" t="s">
        <v>3509</v>
      </c>
      <c r="G6" s="5" t="s">
        <v>3510</v>
      </c>
      <c r="H6" s="5" t="s">
        <v>3511</v>
      </c>
      <c r="I6" s="5" t="s">
        <v>3512</v>
      </c>
      <c r="J6" s="5" t="s">
        <v>3513</v>
      </c>
    </row>
    <row r="7" spans="1:10" ht="15.95" thickBot="1">
      <c r="F7" s="5" t="s">
        <v>3514</v>
      </c>
      <c r="G7" s="5" t="s">
        <v>3515</v>
      </c>
      <c r="H7" s="5" t="s">
        <v>3516</v>
      </c>
      <c r="I7" s="5" t="s">
        <v>3517</v>
      </c>
      <c r="J7" s="5" t="s">
        <v>3518</v>
      </c>
    </row>
    <row r="8" spans="1:10" ht="15.95" thickBot="1">
      <c r="A8" s="1"/>
      <c r="F8" s="5" t="s">
        <v>3519</v>
      </c>
      <c r="G8" s="5" t="s">
        <v>3520</v>
      </c>
      <c r="H8" s="5" t="s">
        <v>3521</v>
      </c>
      <c r="I8" s="5" t="s">
        <v>3522</v>
      </c>
      <c r="J8" s="5" t="s">
        <v>3523</v>
      </c>
    </row>
    <row r="9" spans="1:10" ht="15.95" thickBot="1">
      <c r="F9" s="5" t="s">
        <v>3524</v>
      </c>
      <c r="G9" s="5" t="s">
        <v>3525</v>
      </c>
      <c r="H9" s="5" t="s">
        <v>3526</v>
      </c>
      <c r="I9" s="5" t="s">
        <v>3527</v>
      </c>
      <c r="J9" s="5" t="s">
        <v>3528</v>
      </c>
    </row>
    <row r="10" spans="1:10" ht="15.95" thickBot="1">
      <c r="A10" s="1"/>
      <c r="F10" s="5" t="s">
        <v>3529</v>
      </c>
      <c r="G10" s="5" t="s">
        <v>3530</v>
      </c>
      <c r="H10" s="5" t="s">
        <v>3531</v>
      </c>
      <c r="I10" s="5" t="s">
        <v>3532</v>
      </c>
      <c r="J10" s="5" t="s">
        <v>3533</v>
      </c>
    </row>
    <row r="11" spans="1:10" ht="15.95" thickBot="1">
      <c r="F11" s="5" t="s">
        <v>3534</v>
      </c>
      <c r="G11" s="5" t="s">
        <v>3535</v>
      </c>
      <c r="H11" s="5" t="s">
        <v>3536</v>
      </c>
      <c r="I11" s="5" t="s">
        <v>3537</v>
      </c>
      <c r="J11" s="5" t="s">
        <v>3538</v>
      </c>
    </row>
    <row r="12" spans="1:10" ht="15.95" thickBot="1">
      <c r="A12" s="1"/>
      <c r="F12" s="5" t="s">
        <v>3539</v>
      </c>
      <c r="G12" s="5" t="s">
        <v>3540</v>
      </c>
      <c r="H12" s="5" t="s">
        <v>3541</v>
      </c>
      <c r="I12" s="5" t="s">
        <v>3542</v>
      </c>
      <c r="J12" s="5" t="s">
        <v>3543</v>
      </c>
    </row>
    <row r="13" spans="1:10" ht="15.95" thickBot="1">
      <c r="F13" s="5" t="s">
        <v>3544</v>
      </c>
      <c r="G13" s="5" t="s">
        <v>3545</v>
      </c>
      <c r="H13" s="5" t="s">
        <v>3546</v>
      </c>
      <c r="I13" s="5" t="s">
        <v>3547</v>
      </c>
      <c r="J13" s="5" t="s">
        <v>3548</v>
      </c>
    </row>
    <row r="14" spans="1:10" ht="15.95" thickBot="1">
      <c r="A14" s="1"/>
      <c r="F14" s="5" t="s">
        <v>3549</v>
      </c>
      <c r="G14" s="5" t="s">
        <v>3550</v>
      </c>
      <c r="H14" s="5" t="s">
        <v>32</v>
      </c>
      <c r="I14" s="5" t="s">
        <v>3551</v>
      </c>
      <c r="J14" s="5" t="s">
        <v>3552</v>
      </c>
    </row>
    <row r="15" spans="1:10" ht="15.95" thickBot="1">
      <c r="D15" s="6" t="s">
        <v>3553</v>
      </c>
      <c r="E15" s="20"/>
      <c r="F15" s="7" t="s">
        <v>143</v>
      </c>
      <c r="G15" s="7" t="s">
        <v>2266</v>
      </c>
    </row>
    <row r="16" spans="1:10" ht="15.95" thickBot="1">
      <c r="A16" s="1"/>
      <c r="D16" s="1"/>
      <c r="F16" s="5" t="s">
        <v>1857</v>
      </c>
      <c r="G16" s="5" t="s">
        <v>1074</v>
      </c>
    </row>
    <row r="17" spans="1:8" ht="15.95" thickBot="1">
      <c r="F17" s="5" t="s">
        <v>3554</v>
      </c>
      <c r="G17" s="5" t="s">
        <v>3555</v>
      </c>
    </row>
    <row r="18" spans="1:8" ht="15.95" thickBot="1">
      <c r="F18" s="5" t="s">
        <v>3556</v>
      </c>
      <c r="G18" s="19">
        <v>-0.2</v>
      </c>
    </row>
    <row r="19" spans="1:8" ht="15.95" thickBot="1">
      <c r="F19" s="5" t="s">
        <v>3557</v>
      </c>
      <c r="G19" s="19">
        <v>-0.3</v>
      </c>
    </row>
    <row r="20" spans="1:8" ht="15.95" thickBot="1">
      <c r="A20" s="1"/>
      <c r="F20" s="5" t="s">
        <v>1445</v>
      </c>
      <c r="G20" s="5" t="s">
        <v>1060</v>
      </c>
    </row>
    <row r="21" spans="1:8" ht="15.95" thickBot="1">
      <c r="F21" s="5" t="s">
        <v>3558</v>
      </c>
      <c r="G21" s="5" t="s">
        <v>1074</v>
      </c>
    </row>
    <row r="22" spans="1:8" ht="15.95" thickBot="1">
      <c r="F22" s="5" t="s">
        <v>3559</v>
      </c>
      <c r="G22" s="5" t="s">
        <v>1074</v>
      </c>
    </row>
    <row r="23" spans="1:8" ht="15.95" thickBot="1">
      <c r="F23" s="5" t="s">
        <v>3560</v>
      </c>
      <c r="G23" s="19">
        <v>0.2</v>
      </c>
    </row>
    <row r="24" spans="1:8" ht="15.95" thickBot="1">
      <c r="F24" s="5" t="s">
        <v>3561</v>
      </c>
      <c r="G24" s="19">
        <v>0.1</v>
      </c>
    </row>
    <row r="25" spans="1:8" ht="15.95" thickBot="1">
      <c r="F25" s="5" t="s">
        <v>3562</v>
      </c>
      <c r="G25" s="19">
        <v>-0.4</v>
      </c>
    </row>
    <row r="26" spans="1:8" ht="15.95" thickBot="1">
      <c r="D26" s="6" t="s">
        <v>3563</v>
      </c>
      <c r="E26" s="20"/>
      <c r="F26" s="7" t="s">
        <v>2281</v>
      </c>
      <c r="G26" s="7" t="s">
        <v>2282</v>
      </c>
      <c r="H26" s="7" t="s">
        <v>2283</v>
      </c>
    </row>
    <row r="27" spans="1:8" ht="15.95" thickBot="1">
      <c r="F27" s="5" t="s">
        <v>3564</v>
      </c>
      <c r="G27" s="5" t="s">
        <v>1012</v>
      </c>
      <c r="H27" s="5" t="s">
        <v>3565</v>
      </c>
    </row>
    <row r="28" spans="1:8" ht="15.95" thickBot="1">
      <c r="F28" s="5" t="s">
        <v>3566</v>
      </c>
      <c r="G28" s="5" t="s">
        <v>1012</v>
      </c>
      <c r="H28" s="5" t="s">
        <v>3567</v>
      </c>
    </row>
    <row r="29" spans="1:8" ht="15.95" thickBot="1">
      <c r="D29" s="1"/>
      <c r="F29" s="5" t="s">
        <v>3568</v>
      </c>
      <c r="G29" s="5" t="s">
        <v>2290</v>
      </c>
      <c r="H29" s="5" t="s">
        <v>3569</v>
      </c>
    </row>
    <row r="30" spans="1:8" ht="15.95" thickBot="1">
      <c r="F30" s="5" t="s">
        <v>3570</v>
      </c>
      <c r="G30" s="5" t="s">
        <v>1012</v>
      </c>
      <c r="H30" s="5" t="s">
        <v>3571</v>
      </c>
    </row>
    <row r="31" spans="1:8" ht="15.95" thickBot="1">
      <c r="D31" s="1"/>
      <c r="F31" s="5" t="s">
        <v>3572</v>
      </c>
      <c r="G31" s="5" t="s">
        <v>2290</v>
      </c>
      <c r="H31" s="5" t="s">
        <v>3573</v>
      </c>
    </row>
    <row r="32" spans="1:8" ht="15.95" thickBot="1">
      <c r="F32" s="5" t="s">
        <v>3574</v>
      </c>
      <c r="G32" s="5" t="s">
        <v>2290</v>
      </c>
      <c r="H32" s="5" t="s">
        <v>3575</v>
      </c>
    </row>
    <row r="33" spans="1:10" ht="15.95" thickBot="1">
      <c r="A33" s="1"/>
      <c r="F33" s="5" t="s">
        <v>2780</v>
      </c>
      <c r="G33" s="5" t="s">
        <v>1012</v>
      </c>
      <c r="H33" s="5" t="s">
        <v>3576</v>
      </c>
    </row>
    <row r="34" spans="1:10" ht="15.95" thickBot="1">
      <c r="F34" s="5" t="s">
        <v>3232</v>
      </c>
      <c r="G34" s="5" t="s">
        <v>2290</v>
      </c>
      <c r="H34" s="5" t="s">
        <v>3577</v>
      </c>
    </row>
    <row r="35" spans="1:10" ht="15.95" thickBot="1">
      <c r="E35" s="6" t="s">
        <v>2194</v>
      </c>
      <c r="F35" s="7" t="s">
        <v>1626</v>
      </c>
      <c r="G35" s="7" t="s">
        <v>2195</v>
      </c>
      <c r="H35" s="7" t="s">
        <v>2196</v>
      </c>
      <c r="I35" s="7" t="s">
        <v>2299</v>
      </c>
      <c r="J35" s="7" t="s">
        <v>2198</v>
      </c>
    </row>
    <row r="36" spans="1:10" ht="15.95" thickBot="1">
      <c r="D36" s="3" t="s">
        <v>3578</v>
      </c>
      <c r="E36" s="1" t="s">
        <v>3579</v>
      </c>
      <c r="F36" s="5" t="s">
        <v>3580</v>
      </c>
      <c r="G36" s="5" t="s">
        <v>3581</v>
      </c>
      <c r="H36" s="5" t="s">
        <v>3582</v>
      </c>
      <c r="I36" s="5" t="s">
        <v>3583</v>
      </c>
      <c r="J36" s="5" t="s">
        <v>3584</v>
      </c>
    </row>
    <row r="37" spans="1:10" ht="15.95" thickBot="1">
      <c r="F37" s="5" t="s">
        <v>3585</v>
      </c>
      <c r="G37" s="5" t="s">
        <v>3586</v>
      </c>
      <c r="H37" s="5" t="s">
        <v>3587</v>
      </c>
      <c r="I37" s="5" t="s">
        <v>3588</v>
      </c>
      <c r="J37" s="5" t="s">
        <v>3589</v>
      </c>
    </row>
    <row r="38" spans="1:10" ht="15.95" thickBot="1">
      <c r="F38" s="5" t="s">
        <v>3590</v>
      </c>
      <c r="G38" s="5" t="s">
        <v>3591</v>
      </c>
      <c r="H38" s="5" t="s">
        <v>3592</v>
      </c>
      <c r="I38" s="5" t="s">
        <v>3593</v>
      </c>
      <c r="J38" s="5" t="s">
        <v>3594</v>
      </c>
    </row>
    <row r="39" spans="1:10" ht="15.95" thickBot="1">
      <c r="F39" s="5" t="s">
        <v>3595</v>
      </c>
      <c r="G39" s="5" t="s">
        <v>3596</v>
      </c>
      <c r="H39" s="5" t="s">
        <v>3597</v>
      </c>
      <c r="I39" s="5" t="s">
        <v>3598</v>
      </c>
      <c r="J39" s="5" t="s">
        <v>3599</v>
      </c>
    </row>
    <row r="40" spans="1:10" ht="15.95" thickBot="1">
      <c r="F40" s="5" t="s">
        <v>3600</v>
      </c>
      <c r="G40" s="5" t="s">
        <v>3601</v>
      </c>
      <c r="H40" s="5" t="s">
        <v>3602</v>
      </c>
      <c r="I40" s="5" t="s">
        <v>3603</v>
      </c>
      <c r="J40" s="5" t="s">
        <v>3604</v>
      </c>
    </row>
    <row r="41" spans="1:10" ht="15.95" thickBot="1">
      <c r="F41" s="5" t="s">
        <v>3605</v>
      </c>
      <c r="G41" s="5" t="s">
        <v>3606</v>
      </c>
      <c r="H41" s="5" t="s">
        <v>3607</v>
      </c>
      <c r="I41" s="5" t="s">
        <v>3608</v>
      </c>
      <c r="J41" s="5" t="s">
        <v>3609</v>
      </c>
    </row>
    <row r="42" spans="1:10" ht="15.95" thickBot="1">
      <c r="D42" s="1"/>
      <c r="F42" s="5" t="s">
        <v>3610</v>
      </c>
      <c r="G42" s="5" t="s">
        <v>3611</v>
      </c>
      <c r="H42" s="5" t="s">
        <v>3612</v>
      </c>
      <c r="I42" s="5" t="s">
        <v>3613</v>
      </c>
      <c r="J42" s="5" t="s">
        <v>3614</v>
      </c>
    </row>
    <row r="43" spans="1:10" ht="15.95" thickBot="1">
      <c r="F43" s="5" t="s">
        <v>3615</v>
      </c>
      <c r="G43" s="5" t="s">
        <v>3616</v>
      </c>
      <c r="H43" s="5" t="s">
        <v>3617</v>
      </c>
      <c r="I43" s="5" t="s">
        <v>3618</v>
      </c>
      <c r="J43" s="5" t="s">
        <v>3619</v>
      </c>
    </row>
    <row r="44" spans="1:10" ht="15.95" thickBot="1">
      <c r="D44" s="1"/>
      <c r="F44" s="5" t="s">
        <v>3620</v>
      </c>
      <c r="G44" s="5" t="s">
        <v>3621</v>
      </c>
      <c r="H44" s="5" t="s">
        <v>3622</v>
      </c>
      <c r="I44" s="5" t="s">
        <v>3623</v>
      </c>
      <c r="J44" s="5" t="s">
        <v>3624</v>
      </c>
    </row>
    <row r="45" spans="1:10" ht="15.95" thickBot="1">
      <c r="F45" s="5" t="s">
        <v>3625</v>
      </c>
      <c r="G45" s="5" t="s">
        <v>3626</v>
      </c>
      <c r="H45" s="5" t="s">
        <v>3627</v>
      </c>
      <c r="I45" s="5" t="s">
        <v>3628</v>
      </c>
      <c r="J45" s="5" t="s">
        <v>3629</v>
      </c>
    </row>
    <row r="46" spans="1:10" ht="15.95" thickBot="1"/>
    <row r="47" spans="1:10" ht="15.95" thickBot="1">
      <c r="D47" s="6" t="s">
        <v>3630</v>
      </c>
      <c r="E47" s="20"/>
      <c r="F47" s="7" t="s">
        <v>143</v>
      </c>
      <c r="G47" s="7" t="s">
        <v>2266</v>
      </c>
    </row>
    <row r="48" spans="1:10" ht="15.95" thickBot="1">
      <c r="D48" s="1"/>
      <c r="F48" s="5" t="s">
        <v>3631</v>
      </c>
      <c r="G48" s="19">
        <v>-0.5</v>
      </c>
    </row>
    <row r="49" spans="4:8" ht="15.95" thickBot="1">
      <c r="F49" s="5" t="s">
        <v>3632</v>
      </c>
      <c r="G49" s="19">
        <v>-0.75</v>
      </c>
    </row>
    <row r="50" spans="4:8" ht="15.95" thickBot="1">
      <c r="F50" s="5" t="s">
        <v>3633</v>
      </c>
      <c r="G50" s="19">
        <v>-0.4</v>
      </c>
    </row>
    <row r="51" spans="4:8" ht="15.95" thickBot="1">
      <c r="F51" s="5" t="s">
        <v>3634</v>
      </c>
      <c r="G51" s="19">
        <v>-0.35</v>
      </c>
    </row>
    <row r="52" spans="4:8" ht="15.95" thickBot="1">
      <c r="F52" s="5" t="s">
        <v>3635</v>
      </c>
      <c r="G52" s="19">
        <v>-0.3</v>
      </c>
    </row>
    <row r="53" spans="4:8" ht="15.95" thickBot="1">
      <c r="F53" s="5" t="s">
        <v>3636</v>
      </c>
      <c r="G53" s="19">
        <v>-0.25</v>
      </c>
    </row>
    <row r="54" spans="4:8" ht="15.95" thickBot="1">
      <c r="F54" s="5" t="s">
        <v>3637</v>
      </c>
      <c r="G54" s="5" t="s">
        <v>2162</v>
      </c>
    </row>
    <row r="55" spans="4:8" ht="15.95" thickBot="1">
      <c r="F55" s="5" t="s">
        <v>3638</v>
      </c>
      <c r="G55" s="19">
        <v>-0.5</v>
      </c>
    </row>
    <row r="56" spans="4:8" ht="15.95" thickBot="1">
      <c r="F56" s="5" t="s">
        <v>3639</v>
      </c>
      <c r="G56" s="5" t="s">
        <v>2023</v>
      </c>
    </row>
    <row r="57" spans="4:8" ht="15.95" thickBot="1">
      <c r="F57" s="5" t="s">
        <v>3640</v>
      </c>
      <c r="G57" s="5" t="s">
        <v>2279</v>
      </c>
    </row>
    <row r="58" spans="4:8" ht="15.95" thickBot="1">
      <c r="D58" s="6" t="s">
        <v>3641</v>
      </c>
      <c r="E58" s="20"/>
      <c r="F58" s="7" t="s">
        <v>2281</v>
      </c>
      <c r="G58" s="7" t="s">
        <v>2282</v>
      </c>
      <c r="H58" s="7" t="s">
        <v>2283</v>
      </c>
    </row>
    <row r="59" spans="4:8" ht="15.95" thickBot="1">
      <c r="F59" s="5" t="s">
        <v>3642</v>
      </c>
      <c r="G59" s="5" t="s">
        <v>1012</v>
      </c>
      <c r="H59" s="5" t="s">
        <v>3643</v>
      </c>
    </row>
    <row r="60" spans="4:8" ht="15.95" thickBot="1">
      <c r="F60" s="5" t="s">
        <v>3644</v>
      </c>
      <c r="G60" s="5" t="s">
        <v>2290</v>
      </c>
      <c r="H60" s="5" t="s">
        <v>3645</v>
      </c>
    </row>
    <row r="61" spans="4:8" ht="15.95" thickBot="1">
      <c r="D61" s="1"/>
      <c r="F61" s="5" t="s">
        <v>2101</v>
      </c>
      <c r="G61" s="5" t="s">
        <v>1012</v>
      </c>
      <c r="H61" s="5" t="s">
        <v>3646</v>
      </c>
    </row>
    <row r="62" spans="4:8" ht="15.95" thickBot="1">
      <c r="F62" s="5" t="s">
        <v>3647</v>
      </c>
      <c r="G62" s="5" t="s">
        <v>1012</v>
      </c>
      <c r="H62" s="5" t="s">
        <v>3648</v>
      </c>
    </row>
    <row r="63" spans="4:8" ht="15.95" thickBot="1">
      <c r="D63" s="1"/>
      <c r="F63" s="5" t="s">
        <v>1988</v>
      </c>
      <c r="G63" s="5" t="s">
        <v>1012</v>
      </c>
      <c r="H63" s="5" t="s">
        <v>3649</v>
      </c>
    </row>
    <row r="64" spans="4:8" ht="15.95" thickBot="1">
      <c r="F64" s="5" t="s">
        <v>3650</v>
      </c>
      <c r="G64" s="5" t="s">
        <v>2290</v>
      </c>
      <c r="H64" s="5" t="s">
        <v>3651</v>
      </c>
    </row>
    <row r="65" spans="4:10" ht="15.95" thickBot="1">
      <c r="F65" s="5" t="s">
        <v>3652</v>
      </c>
      <c r="G65" s="5" t="s">
        <v>1012</v>
      </c>
      <c r="H65" s="5" t="s">
        <v>3653</v>
      </c>
    </row>
    <row r="66" spans="4:10" ht="15.95" thickBot="1">
      <c r="F66" s="5" t="s">
        <v>3654</v>
      </c>
      <c r="G66" s="5" t="s">
        <v>1012</v>
      </c>
      <c r="H66" s="5" t="s">
        <v>3655</v>
      </c>
    </row>
    <row r="67" spans="4:10" ht="15.95" thickBot="1">
      <c r="E67" s="6" t="s">
        <v>2194</v>
      </c>
      <c r="F67" s="7" t="s">
        <v>1626</v>
      </c>
      <c r="G67" s="7" t="s">
        <v>2195</v>
      </c>
      <c r="H67" s="7" t="s">
        <v>2196</v>
      </c>
      <c r="I67" s="7" t="s">
        <v>2299</v>
      </c>
      <c r="J67" s="7" t="s">
        <v>2198</v>
      </c>
    </row>
    <row r="68" spans="4:10" ht="15.95" thickBot="1">
      <c r="D68" s="3" t="s">
        <v>3656</v>
      </c>
      <c r="E68" s="1" t="s">
        <v>3657</v>
      </c>
      <c r="F68" s="5" t="s">
        <v>3658</v>
      </c>
      <c r="G68" s="5" t="s">
        <v>3659</v>
      </c>
      <c r="H68" s="5" t="s">
        <v>3660</v>
      </c>
      <c r="I68" s="5" t="s">
        <v>3661</v>
      </c>
      <c r="J68" s="5" t="s">
        <v>3662</v>
      </c>
    </row>
    <row r="69" spans="4:10" ht="15.95" thickBot="1">
      <c r="F69" s="5" t="s">
        <v>3663</v>
      </c>
      <c r="G69" s="5" t="s">
        <v>3664</v>
      </c>
      <c r="H69" s="5" t="s">
        <v>3665</v>
      </c>
      <c r="I69" s="5" t="s">
        <v>3666</v>
      </c>
      <c r="J69" s="5" t="s">
        <v>3667</v>
      </c>
    </row>
    <row r="70" spans="4:10" ht="15.95" thickBot="1">
      <c r="F70" s="5" t="s">
        <v>3668</v>
      </c>
      <c r="G70" s="5" t="s">
        <v>3669</v>
      </c>
      <c r="H70" s="5" t="s">
        <v>3670</v>
      </c>
      <c r="I70" s="5" t="s">
        <v>3671</v>
      </c>
      <c r="J70" s="5" t="s">
        <v>2915</v>
      </c>
    </row>
    <row r="71" spans="4:10" ht="15.95" thickBot="1">
      <c r="F71" s="5" t="s">
        <v>3672</v>
      </c>
      <c r="G71" s="5" t="s">
        <v>3673</v>
      </c>
      <c r="H71" s="5" t="s">
        <v>3171</v>
      </c>
      <c r="I71" s="5" t="s">
        <v>3674</v>
      </c>
      <c r="J71" s="5" t="s">
        <v>3675</v>
      </c>
    </row>
    <row r="72" spans="4:10" ht="15.95" thickBot="1">
      <c r="F72" s="5" t="s">
        <v>3676</v>
      </c>
      <c r="G72" s="5" t="s">
        <v>3677</v>
      </c>
      <c r="H72" s="5" t="s">
        <v>3678</v>
      </c>
      <c r="I72" s="5" t="s">
        <v>3679</v>
      </c>
      <c r="J72" s="5" t="s">
        <v>3680</v>
      </c>
    </row>
    <row r="73" spans="4:10" ht="15.95" thickBot="1">
      <c r="F73" s="5" t="s">
        <v>3681</v>
      </c>
      <c r="G73" s="5" t="s">
        <v>3682</v>
      </c>
      <c r="H73" s="5" t="s">
        <v>3683</v>
      </c>
      <c r="I73" s="5" t="s">
        <v>3684</v>
      </c>
      <c r="J73" s="5" t="s">
        <v>3685</v>
      </c>
    </row>
    <row r="74" spans="4:10" ht="15.95" thickBot="1">
      <c r="D74" s="1"/>
      <c r="F74" s="5" t="s">
        <v>3686</v>
      </c>
      <c r="G74" s="5" t="s">
        <v>3687</v>
      </c>
      <c r="H74" s="5" t="s">
        <v>3688</v>
      </c>
      <c r="I74" s="5" t="s">
        <v>3689</v>
      </c>
      <c r="J74" s="5" t="s">
        <v>3690</v>
      </c>
    </row>
    <row r="75" spans="4:10" ht="15.95" thickBot="1">
      <c r="F75" s="5" t="s">
        <v>2831</v>
      </c>
      <c r="G75" s="5" t="s">
        <v>3691</v>
      </c>
      <c r="H75" s="5" t="s">
        <v>3264</v>
      </c>
      <c r="I75" s="5" t="s">
        <v>3692</v>
      </c>
      <c r="J75" s="5" t="s">
        <v>3693</v>
      </c>
    </row>
    <row r="76" spans="4:10" ht="15.95" thickBot="1">
      <c r="D76" s="1"/>
      <c r="F76" s="5" t="s">
        <v>3694</v>
      </c>
      <c r="G76" s="5" t="s">
        <v>3695</v>
      </c>
      <c r="H76" s="5" t="s">
        <v>32</v>
      </c>
      <c r="I76" s="5" t="s">
        <v>3696</v>
      </c>
      <c r="J76" s="5" t="s">
        <v>3697</v>
      </c>
    </row>
    <row r="77" spans="4:10" ht="15.95" thickBot="1">
      <c r="F77" s="5" t="s">
        <v>3698</v>
      </c>
      <c r="G77" s="5" t="s">
        <v>3699</v>
      </c>
      <c r="H77" s="5" t="s">
        <v>3700</v>
      </c>
      <c r="I77" s="5" t="s">
        <v>3701</v>
      </c>
      <c r="J77" s="5" t="s">
        <v>3702</v>
      </c>
    </row>
    <row r="78" spans="4:10" ht="15.95" thickBot="1">
      <c r="D78" s="6" t="s">
        <v>3703</v>
      </c>
      <c r="E78" s="20"/>
      <c r="F78" s="8" t="s">
        <v>143</v>
      </c>
      <c r="G78" s="8" t="s">
        <v>2266</v>
      </c>
    </row>
    <row r="79" spans="4:10" ht="15.95" thickBot="1">
      <c r="D79" s="1"/>
      <c r="F79" s="15" t="s">
        <v>1488</v>
      </c>
      <c r="G79" s="15" t="s">
        <v>1047</v>
      </c>
    </row>
    <row r="80" spans="4:10" ht="15.95" thickBot="1">
      <c r="F80" s="15" t="s">
        <v>3704</v>
      </c>
      <c r="G80" s="15" t="s">
        <v>1060</v>
      </c>
    </row>
    <row r="81" spans="4:8" ht="15.95" thickBot="1">
      <c r="F81" s="15" t="s">
        <v>3705</v>
      </c>
      <c r="G81" s="16">
        <v>-0.4</v>
      </c>
    </row>
    <row r="82" spans="4:8" ht="15.95" thickBot="1">
      <c r="F82" s="15" t="s">
        <v>3706</v>
      </c>
      <c r="G82" s="16">
        <v>-0.25</v>
      </c>
    </row>
    <row r="83" spans="4:8" ht="15.95" thickBot="1">
      <c r="F83" s="15" t="s">
        <v>2918</v>
      </c>
      <c r="G83" s="15" t="s">
        <v>1047</v>
      </c>
    </row>
    <row r="84" spans="4:8" ht="15.95" thickBot="1">
      <c r="F84" s="15" t="s">
        <v>2917</v>
      </c>
      <c r="G84" s="15" t="s">
        <v>1060</v>
      </c>
    </row>
    <row r="85" spans="4:8" ht="15.95" thickBot="1">
      <c r="F85" s="15" t="s">
        <v>3707</v>
      </c>
      <c r="G85" s="15" t="s">
        <v>1052</v>
      </c>
    </row>
    <row r="86" spans="4:8" ht="15.95" thickBot="1">
      <c r="F86" s="15" t="s">
        <v>1857</v>
      </c>
      <c r="G86" s="15" t="s">
        <v>1074</v>
      </c>
    </row>
    <row r="87" spans="4:8" ht="15.95" thickBot="1">
      <c r="F87" s="15" t="s">
        <v>3708</v>
      </c>
      <c r="G87" s="16">
        <v>0.2</v>
      </c>
    </row>
    <row r="88" spans="4:8" ht="15.95" thickBot="1">
      <c r="F88" s="15" t="s">
        <v>3709</v>
      </c>
      <c r="G88" s="15" t="s">
        <v>2162</v>
      </c>
    </row>
    <row r="89" spans="4:8" ht="15.95" thickBot="1">
      <c r="D89" s="6" t="s">
        <v>3710</v>
      </c>
      <c r="E89" s="20"/>
      <c r="F89" s="7" t="s">
        <v>2281</v>
      </c>
      <c r="G89" s="7" t="s">
        <v>2282</v>
      </c>
      <c r="H89" s="7" t="s">
        <v>2283</v>
      </c>
    </row>
    <row r="90" spans="4:8" ht="15.95" thickBot="1">
      <c r="F90" s="5" t="s">
        <v>3711</v>
      </c>
      <c r="G90" s="5" t="s">
        <v>1012</v>
      </c>
      <c r="H90" s="5" t="s">
        <v>2927</v>
      </c>
    </row>
    <row r="91" spans="4:8" ht="15.95" thickBot="1">
      <c r="F91" s="5" t="s">
        <v>3712</v>
      </c>
      <c r="G91" s="5" t="s">
        <v>2290</v>
      </c>
      <c r="H91" s="5" t="s">
        <v>3713</v>
      </c>
    </row>
    <row r="92" spans="4:8" ht="15.95" thickBot="1">
      <c r="D92" s="1"/>
      <c r="F92" s="5" t="s">
        <v>3714</v>
      </c>
      <c r="G92" s="5" t="s">
        <v>2290</v>
      </c>
      <c r="H92" s="5" t="s">
        <v>2941</v>
      </c>
    </row>
    <row r="93" spans="4:8" ht="15.95" thickBot="1">
      <c r="F93" s="5" t="s">
        <v>3715</v>
      </c>
      <c r="G93" s="5" t="s">
        <v>1012</v>
      </c>
      <c r="H93" s="5" t="s">
        <v>3716</v>
      </c>
    </row>
    <row r="94" spans="4:8" ht="15.95" thickBot="1">
      <c r="D94" s="1"/>
      <c r="F94" s="5" t="s">
        <v>3717</v>
      </c>
      <c r="G94" s="5" t="s">
        <v>2290</v>
      </c>
      <c r="H94" s="5" t="s">
        <v>3718</v>
      </c>
    </row>
    <row r="95" spans="4:8" ht="15.95" thickBot="1">
      <c r="F95" s="5" t="s">
        <v>3719</v>
      </c>
      <c r="G95" s="5" t="s">
        <v>1012</v>
      </c>
      <c r="H95" s="5" t="s">
        <v>3720</v>
      </c>
    </row>
    <row r="96" spans="4:8" ht="15.95" thickBot="1">
      <c r="F96" s="5" t="s">
        <v>3721</v>
      </c>
      <c r="G96" s="5" t="s">
        <v>2290</v>
      </c>
      <c r="H96" s="5" t="s">
        <v>3722</v>
      </c>
    </row>
    <row r="97" spans="4:8" ht="15.95" thickBot="1">
      <c r="F97" s="5" t="s">
        <v>3723</v>
      </c>
      <c r="G97" s="5" t="s">
        <v>1012</v>
      </c>
      <c r="H97" s="5" t="s">
        <v>3724</v>
      </c>
    </row>
    <row r="98" spans="4:8" ht="15.95" thickBot="1">
      <c r="D98" s="6" t="s">
        <v>3725</v>
      </c>
      <c r="E98" s="20"/>
      <c r="F98" s="7" t="s">
        <v>3726</v>
      </c>
      <c r="G98" s="7" t="s">
        <v>6</v>
      </c>
    </row>
    <row r="99" spans="4:8" ht="15.95" thickBot="1">
      <c r="F99" s="5" t="s">
        <v>3727</v>
      </c>
      <c r="G99" s="5" t="s">
        <v>3728</v>
      </c>
    </row>
    <row r="100" spans="4:8" ht="15.95" thickBot="1">
      <c r="F100" s="5" t="s">
        <v>3729</v>
      </c>
      <c r="G100" s="5" t="s">
        <v>3730</v>
      </c>
    </row>
    <row r="101" spans="4:8" ht="15.95" thickBot="1">
      <c r="F101" s="5" t="s">
        <v>3731</v>
      </c>
      <c r="G101" s="5" t="s">
        <v>3732</v>
      </c>
    </row>
    <row r="102" spans="4:8" ht="15.95" thickBot="1">
      <c r="F102" s="5" t="s">
        <v>3733</v>
      </c>
      <c r="G102" s="5" t="s">
        <v>3734</v>
      </c>
    </row>
    <row r="103" spans="4:8" ht="15.95" thickBot="1">
      <c r="F103" s="5" t="s">
        <v>3735</v>
      </c>
      <c r="G103" s="5" t="s">
        <v>3736</v>
      </c>
    </row>
    <row r="104" spans="4:8" ht="15.95" thickBot="1">
      <c r="F104" s="5" t="s">
        <v>3737</v>
      </c>
      <c r="G104" s="5" t="s">
        <v>3738</v>
      </c>
    </row>
    <row r="105" spans="4:8" ht="15.95" thickBot="1">
      <c r="D105" s="1"/>
      <c r="F105" s="5" t="s">
        <v>3739</v>
      </c>
      <c r="G105" s="5" t="s">
        <v>3740</v>
      </c>
    </row>
    <row r="106" spans="4:8" ht="15.95" thickBot="1">
      <c r="F106" s="5" t="s">
        <v>3741</v>
      </c>
      <c r="G106" s="5" t="s">
        <v>3742</v>
      </c>
    </row>
    <row r="107" spans="4:8" ht="15.95" thickBot="1">
      <c r="D107" s="1"/>
      <c r="F107" s="5" t="s">
        <v>3743</v>
      </c>
      <c r="G107" s="5" t="s">
        <v>3744</v>
      </c>
    </row>
    <row r="108" spans="4:8" ht="15.95" thickBot="1">
      <c r="F108" s="5" t="s">
        <v>3745</v>
      </c>
      <c r="G108" s="5" t="s">
        <v>3746</v>
      </c>
    </row>
    <row r="109" spans="4:8" ht="15.95" thickBot="1">
      <c r="D109" s="6" t="s">
        <v>3747</v>
      </c>
      <c r="E109" s="20"/>
      <c r="F109" s="7" t="s">
        <v>3748</v>
      </c>
      <c r="G109" s="7" t="s">
        <v>6</v>
      </c>
    </row>
    <row r="110" spans="4:8" ht="15.95" thickBot="1">
      <c r="F110" s="5" t="s">
        <v>3749</v>
      </c>
      <c r="G110" s="5" t="s">
        <v>3750</v>
      </c>
    </row>
    <row r="111" spans="4:8" ht="15.95" thickBot="1">
      <c r="F111" s="5" t="s">
        <v>3751</v>
      </c>
      <c r="G111" s="5" t="s">
        <v>3730</v>
      </c>
    </row>
    <row r="112" spans="4:8" ht="15.95" thickBot="1">
      <c r="F112" s="5" t="s">
        <v>3752</v>
      </c>
      <c r="G112" s="5" t="s">
        <v>3753</v>
      </c>
    </row>
    <row r="113" spans="4:8" ht="15.95" thickBot="1">
      <c r="F113" s="5" t="s">
        <v>3754</v>
      </c>
      <c r="G113" s="5" t="s">
        <v>3755</v>
      </c>
    </row>
    <row r="114" spans="4:8" ht="15.95" thickBot="1">
      <c r="F114" s="5" t="s">
        <v>3756</v>
      </c>
      <c r="G114" s="5" t="s">
        <v>3757</v>
      </c>
    </row>
    <row r="115" spans="4:8" ht="15.95" thickBot="1">
      <c r="F115" s="5" t="s">
        <v>3758</v>
      </c>
      <c r="G115" s="5" t="s">
        <v>3759</v>
      </c>
    </row>
    <row r="116" spans="4:8" ht="15.95" thickBot="1">
      <c r="F116" s="5" t="s">
        <v>3760</v>
      </c>
      <c r="G116" s="5" t="s">
        <v>3761</v>
      </c>
    </row>
    <row r="117" spans="4:8" ht="15.95" thickBot="1">
      <c r="F117" s="5" t="s">
        <v>3762</v>
      </c>
      <c r="G117" s="5" t="s">
        <v>3763</v>
      </c>
    </row>
    <row r="118" spans="4:8" ht="15.95" thickBot="1">
      <c r="F118" s="5" t="s">
        <v>3764</v>
      </c>
      <c r="G118" s="5" t="s">
        <v>3765</v>
      </c>
    </row>
    <row r="119" spans="4:8" ht="15.95" thickBot="1">
      <c r="F119" s="5" t="s">
        <v>3766</v>
      </c>
      <c r="G119" s="5" t="s">
        <v>3767</v>
      </c>
    </row>
    <row r="120" spans="4:8" ht="15.95" thickBot="1">
      <c r="D120" s="6" t="s">
        <v>3768</v>
      </c>
      <c r="E120" s="20"/>
      <c r="F120" s="7" t="s">
        <v>2943</v>
      </c>
      <c r="G120" s="7" t="s">
        <v>2944</v>
      </c>
      <c r="H120" s="7" t="s">
        <v>3321</v>
      </c>
    </row>
    <row r="121" spans="4:8" ht="15.95" thickBot="1">
      <c r="F121" s="5" t="s">
        <v>3324</v>
      </c>
      <c r="G121" s="5" t="s">
        <v>3769</v>
      </c>
      <c r="H121" s="5" t="s">
        <v>3770</v>
      </c>
    </row>
    <row r="122" spans="4:8" ht="15.95" thickBot="1">
      <c r="D122" s="1"/>
      <c r="F122" s="5" t="s">
        <v>3771</v>
      </c>
      <c r="G122" s="5" t="s">
        <v>3772</v>
      </c>
      <c r="H122" s="5" t="s">
        <v>3773</v>
      </c>
    </row>
    <row r="123" spans="4:8" ht="15.95" thickBot="1">
      <c r="F123" s="5" t="s">
        <v>2683</v>
      </c>
      <c r="G123" s="5" t="s">
        <v>3774</v>
      </c>
      <c r="H123" s="5" t="s">
        <v>3775</v>
      </c>
    </row>
    <row r="124" spans="4:8" ht="15.95" thickBot="1">
      <c r="F124" s="5" t="s">
        <v>3776</v>
      </c>
      <c r="G124" s="5" t="s">
        <v>3777</v>
      </c>
      <c r="H124" s="5" t="s">
        <v>3778</v>
      </c>
    </row>
    <row r="125" spans="4:8" ht="15.95" thickBot="1">
      <c r="F125" s="5" t="s">
        <v>3779</v>
      </c>
      <c r="G125" s="5" t="s">
        <v>3780</v>
      </c>
      <c r="H125" s="5" t="s">
        <v>3781</v>
      </c>
    </row>
    <row r="126" spans="4:8" ht="15.95" thickBot="1">
      <c r="F126" s="5" t="s">
        <v>3333</v>
      </c>
      <c r="G126" s="5" t="s">
        <v>3782</v>
      </c>
      <c r="H126" s="5" t="s">
        <v>3783</v>
      </c>
    </row>
    <row r="127" spans="4:8" ht="15.95" thickBot="1">
      <c r="F127" s="5" t="s">
        <v>2962</v>
      </c>
      <c r="G127" s="5" t="s">
        <v>3784</v>
      </c>
      <c r="H127" s="5" t="s">
        <v>3785</v>
      </c>
    </row>
    <row r="128" spans="4:8" ht="15.95" thickBot="1">
      <c r="F128" s="5" t="s">
        <v>510</v>
      </c>
      <c r="G128" s="5" t="s">
        <v>3786</v>
      </c>
      <c r="H128" s="5" t="s">
        <v>3787</v>
      </c>
    </row>
    <row r="129" spans="4:8" ht="15.95" thickBot="1">
      <c r="F129" s="5" t="s">
        <v>2965</v>
      </c>
      <c r="G129" s="5" t="s">
        <v>2966</v>
      </c>
      <c r="H129" s="5" t="s">
        <v>2967</v>
      </c>
    </row>
    <row r="130" spans="4:8" ht="15.95" thickBot="1">
      <c r="F130" s="5" t="s">
        <v>3788</v>
      </c>
      <c r="G130" s="5" t="s">
        <v>3789</v>
      </c>
      <c r="H130" s="5" t="s">
        <v>3790</v>
      </c>
    </row>
    <row r="131" spans="4:8" ht="15.95" thickBot="1"/>
    <row r="132" spans="4:8" ht="15.95" thickBot="1">
      <c r="D132" s="6" t="s">
        <v>3791</v>
      </c>
      <c r="E132" s="20"/>
      <c r="F132" s="7" t="s">
        <v>2379</v>
      </c>
      <c r="G132" s="7" t="s">
        <v>537</v>
      </c>
    </row>
    <row r="133" spans="4:8" ht="15.95" thickBot="1">
      <c r="D133" s="1"/>
      <c r="F133" s="5" t="s">
        <v>3792</v>
      </c>
      <c r="G133" s="5" t="s">
        <v>2381</v>
      </c>
    </row>
    <row r="134" spans="4:8" ht="15.95" thickBot="1">
      <c r="F134" s="5" t="s">
        <v>3793</v>
      </c>
      <c r="G134" s="5" t="s">
        <v>2381</v>
      </c>
    </row>
    <row r="135" spans="4:8" ht="15.95" thickBot="1">
      <c r="F135" s="5" t="s">
        <v>3794</v>
      </c>
      <c r="G135" s="5" t="s">
        <v>2381</v>
      </c>
    </row>
    <row r="136" spans="4:8" ht="15.95" thickBot="1">
      <c r="F136" s="5" t="s">
        <v>3795</v>
      </c>
      <c r="G136" s="5" t="s">
        <v>2381</v>
      </c>
    </row>
    <row r="137" spans="4:8" ht="15.95" thickBot="1">
      <c r="F137" s="5" t="s">
        <v>3796</v>
      </c>
      <c r="G137" s="5" t="s">
        <v>2381</v>
      </c>
    </row>
    <row r="138" spans="4:8" ht="15.95" thickBot="1">
      <c r="F138" s="5" t="s">
        <v>3797</v>
      </c>
      <c r="G138" s="5" t="s">
        <v>2381</v>
      </c>
    </row>
    <row r="139" spans="4:8" ht="15.95" thickBot="1">
      <c r="F139" s="5" t="s">
        <v>3798</v>
      </c>
      <c r="G139" s="5" t="s">
        <v>2381</v>
      </c>
    </row>
    <row r="140" spans="4:8" ht="15.95" thickBot="1">
      <c r="F140" s="5" t="s">
        <v>3799</v>
      </c>
      <c r="G140" s="5" t="s">
        <v>2381</v>
      </c>
    </row>
    <row r="141" spans="4:8" ht="15.95" thickBot="1">
      <c r="F141" s="5" t="s">
        <v>3800</v>
      </c>
      <c r="G141" s="5" t="s">
        <v>2381</v>
      </c>
    </row>
    <row r="142" spans="4:8" ht="15.95" thickBot="1">
      <c r="F142" s="5" t="s">
        <v>3801</v>
      </c>
      <c r="G142" s="5" t="s">
        <v>2381</v>
      </c>
    </row>
    <row r="143" spans="4:8" ht="15.95" thickBot="1">
      <c r="F143" s="5" t="s">
        <v>3802</v>
      </c>
      <c r="G143" s="5" t="s">
        <v>2381</v>
      </c>
    </row>
    <row r="144" spans="4:8" ht="15.95" thickBot="1">
      <c r="F144" s="5" t="s">
        <v>3803</v>
      </c>
      <c r="G144" s="5" t="s">
        <v>2381</v>
      </c>
    </row>
    <row r="145" spans="4:10" ht="15.95" thickBot="1">
      <c r="F145" s="5" t="s">
        <v>3804</v>
      </c>
      <c r="G145" s="5" t="s">
        <v>2381</v>
      </c>
    </row>
    <row r="146" spans="4:10" ht="15.95" thickBot="1">
      <c r="F146" s="5" t="s">
        <v>3805</v>
      </c>
      <c r="G146" s="5" t="s">
        <v>2381</v>
      </c>
    </row>
    <row r="148" spans="4:10">
      <c r="D148" s="6" t="s">
        <v>3806</v>
      </c>
      <c r="E148" s="48"/>
      <c r="F148" s="17" t="s">
        <v>3807</v>
      </c>
    </row>
    <row r="149" spans="4:10">
      <c r="D149" s="17"/>
      <c r="F149" s="17" t="s">
        <v>3808</v>
      </c>
    </row>
    <row r="150" spans="4:10">
      <c r="F150" s="17" t="s">
        <v>3809</v>
      </c>
    </row>
    <row r="151" spans="4:10">
      <c r="F151" s="17" t="s">
        <v>3810</v>
      </c>
    </row>
    <row r="152" spans="4:10">
      <c r="F152" s="17" t="s">
        <v>3811</v>
      </c>
    </row>
    <row r="153" spans="4:10">
      <c r="F153" s="17" t="s">
        <v>3812</v>
      </c>
    </row>
    <row r="154" spans="4:10">
      <c r="F154" s="17" t="s">
        <v>3813</v>
      </c>
    </row>
    <row r="155" spans="4:10">
      <c r="F155" s="17" t="s">
        <v>3814</v>
      </c>
    </row>
    <row r="156" spans="4:10">
      <c r="F156" s="17" t="s">
        <v>3815</v>
      </c>
    </row>
    <row r="157" spans="4:10">
      <c r="F157" s="17" t="s">
        <v>3816</v>
      </c>
    </row>
    <row r="159" spans="4:10" ht="15.95">
      <c r="D159" s="359" t="s">
        <v>2404</v>
      </c>
      <c r="E159" s="359"/>
      <c r="F159" s="359"/>
      <c r="G159" s="359"/>
      <c r="H159" s="359"/>
      <c r="I159" s="359"/>
      <c r="J159" s="359"/>
    </row>
    <row r="160" spans="4:10">
      <c r="D160" s="97" t="s">
        <v>1992</v>
      </c>
      <c r="E160" s="97" t="s">
        <v>2405</v>
      </c>
      <c r="F160" s="97" t="s">
        <v>2406</v>
      </c>
      <c r="G160" s="97" t="s">
        <v>2407</v>
      </c>
      <c r="H160" s="97" t="s">
        <v>996</v>
      </c>
      <c r="I160" s="97" t="s">
        <v>823</v>
      </c>
      <c r="J160" s="97" t="s">
        <v>537</v>
      </c>
    </row>
    <row r="161" spans="1:10" ht="23.1">
      <c r="D161" s="100" t="s">
        <v>3817</v>
      </c>
      <c r="E161" s="98" t="s">
        <v>3818</v>
      </c>
      <c r="F161" s="98" t="s">
        <v>3819</v>
      </c>
      <c r="G161" s="98" t="s">
        <v>3820</v>
      </c>
      <c r="H161" s="98" t="s">
        <v>3821</v>
      </c>
      <c r="I161" s="98" t="s">
        <v>3822</v>
      </c>
      <c r="J161" s="101" t="s">
        <v>2414</v>
      </c>
    </row>
    <row r="162" spans="1:10" ht="23.1">
      <c r="D162" s="100" t="s">
        <v>3823</v>
      </c>
      <c r="E162" s="98" t="s">
        <v>3824</v>
      </c>
      <c r="F162" s="98" t="s">
        <v>3825</v>
      </c>
      <c r="G162" s="98" t="s">
        <v>3826</v>
      </c>
      <c r="H162" s="98" t="s">
        <v>3827</v>
      </c>
      <c r="I162" s="98" t="s">
        <v>3828</v>
      </c>
      <c r="J162" s="101" t="s">
        <v>2414</v>
      </c>
    </row>
    <row r="163" spans="1:10" ht="34.5">
      <c r="D163" s="100" t="s">
        <v>3829</v>
      </c>
      <c r="E163" s="98" t="s">
        <v>3830</v>
      </c>
      <c r="F163" s="98" t="s">
        <v>3831</v>
      </c>
      <c r="G163" s="98" t="s">
        <v>3832</v>
      </c>
      <c r="H163" s="98" t="s">
        <v>3833</v>
      </c>
      <c r="I163" s="98" t="s">
        <v>3834</v>
      </c>
      <c r="J163" s="101" t="s">
        <v>2414</v>
      </c>
    </row>
    <row r="164" spans="1:10" ht="23.1">
      <c r="D164" s="100" t="s">
        <v>3835</v>
      </c>
      <c r="E164" s="98" t="s">
        <v>3836</v>
      </c>
      <c r="F164" s="98" t="s">
        <v>3837</v>
      </c>
      <c r="G164" s="98" t="s">
        <v>3838</v>
      </c>
      <c r="H164" s="98" t="s">
        <v>3839</v>
      </c>
      <c r="I164" s="98" t="s">
        <v>3840</v>
      </c>
      <c r="J164" s="101" t="s">
        <v>2414</v>
      </c>
    </row>
    <row r="165" spans="1:10" ht="23.1">
      <c r="D165" s="100" t="s">
        <v>3841</v>
      </c>
      <c r="E165" s="98" t="s">
        <v>3842</v>
      </c>
      <c r="F165" s="98" t="s">
        <v>3843</v>
      </c>
      <c r="G165" s="98" t="s">
        <v>3844</v>
      </c>
      <c r="H165" s="98" t="s">
        <v>3845</v>
      </c>
      <c r="I165" s="98" t="s">
        <v>3846</v>
      </c>
      <c r="J165" s="101" t="s">
        <v>2414</v>
      </c>
    </row>
    <row r="166" spans="1:10" ht="23.1">
      <c r="D166" s="100" t="s">
        <v>3847</v>
      </c>
      <c r="E166" s="98" t="s">
        <v>3848</v>
      </c>
      <c r="F166" s="98" t="s">
        <v>3849</v>
      </c>
      <c r="G166" s="98" t="s">
        <v>3850</v>
      </c>
      <c r="H166" s="98" t="s">
        <v>3851</v>
      </c>
      <c r="I166" s="98" t="s">
        <v>3852</v>
      </c>
      <c r="J166" s="101" t="s">
        <v>2414</v>
      </c>
    </row>
    <row r="167" spans="1:10" ht="34.5">
      <c r="D167" s="100" t="s">
        <v>3853</v>
      </c>
      <c r="E167" s="98" t="s">
        <v>3854</v>
      </c>
      <c r="F167" s="98" t="s">
        <v>3855</v>
      </c>
      <c r="G167" s="98" t="s">
        <v>3856</v>
      </c>
      <c r="H167" s="98" t="s">
        <v>3857</v>
      </c>
      <c r="I167" s="98" t="s">
        <v>3858</v>
      </c>
      <c r="J167" s="101" t="s">
        <v>2414</v>
      </c>
    </row>
    <row r="169" spans="1:10">
      <c r="D169" s="328" t="s">
        <v>2437</v>
      </c>
      <c r="E169" s="328"/>
      <c r="F169" s="328"/>
      <c r="G169" s="328"/>
      <c r="H169" s="328"/>
      <c r="I169" s="328"/>
      <c r="J169" s="328"/>
    </row>
    <row r="170" spans="1:10">
      <c r="D170" s="48" t="s">
        <v>2438</v>
      </c>
      <c r="E170" s="48" t="s">
        <v>2405</v>
      </c>
      <c r="F170" s="48" t="s">
        <v>2406</v>
      </c>
      <c r="G170" s="48" t="s">
        <v>2407</v>
      </c>
      <c r="H170" s="48" t="s">
        <v>917</v>
      </c>
      <c r="I170" s="48" t="s">
        <v>823</v>
      </c>
      <c r="J170" s="48" t="s">
        <v>537</v>
      </c>
    </row>
    <row r="171" spans="1:10" ht="46.5">
      <c r="D171" s="48" t="s">
        <v>3859</v>
      </c>
      <c r="E171" s="48" t="s">
        <v>3860</v>
      </c>
      <c r="F171" s="48" t="s">
        <v>3861</v>
      </c>
      <c r="G171" s="48" t="s">
        <v>3862</v>
      </c>
      <c r="H171" s="48" t="s">
        <v>3863</v>
      </c>
      <c r="I171" s="48" t="s">
        <v>3864</v>
      </c>
      <c r="J171" s="48" t="s">
        <v>2445</v>
      </c>
    </row>
    <row r="173" spans="1:10">
      <c r="A173" s="355" t="s">
        <v>2446</v>
      </c>
      <c r="B173" s="358"/>
      <c r="C173" s="358"/>
      <c r="D173" s="358"/>
      <c r="E173" s="358"/>
      <c r="F173" s="358"/>
      <c r="G173" s="358"/>
      <c r="H173" s="358"/>
      <c r="I173" s="358"/>
      <c r="J173" s="358"/>
    </row>
    <row r="174" spans="1:10">
      <c r="A174" s="286" t="s">
        <v>2008</v>
      </c>
      <c r="B174" s="286" t="s">
        <v>2009</v>
      </c>
      <c r="C174" s="286"/>
      <c r="D174" s="286" t="s">
        <v>2010</v>
      </c>
      <c r="E174" s="286"/>
      <c r="F174" s="286" t="s">
        <v>2011</v>
      </c>
      <c r="G174" s="286"/>
      <c r="H174" s="286" t="s">
        <v>2012</v>
      </c>
      <c r="I174" s="286"/>
      <c r="J174" s="286" t="s">
        <v>2013</v>
      </c>
    </row>
    <row r="175" spans="1:10" ht="186">
      <c r="A175" s="287" t="s">
        <v>843</v>
      </c>
      <c r="B175" s="287" t="s">
        <v>2116</v>
      </c>
      <c r="C175" s="287"/>
      <c r="D175" s="287" t="s">
        <v>2117</v>
      </c>
      <c r="E175" s="287"/>
      <c r="F175" s="287" t="s">
        <v>2118</v>
      </c>
      <c r="G175" s="287"/>
      <c r="H175" s="287" t="s">
        <v>2119</v>
      </c>
      <c r="I175" s="287"/>
      <c r="J175" s="287" t="s">
        <v>974</v>
      </c>
    </row>
  </sheetData>
  <mergeCells count="3">
    <mergeCell ref="D159:J159"/>
    <mergeCell ref="D169:J169"/>
    <mergeCell ref="A173:J173"/>
  </mergeCells>
  <pageMargins left="0.7" right="0.7" top="0.75" bottom="0.75" header="0.3" footer="0.3"/>
  <pageSetup orientation="portrait" r:id="rId1"/>
  <headerFooter>
    <oddFooter>&amp;L_x000D_&amp;1#&amp;"Aptos"&amp;10&amp;K000000 Confidential-Internal</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7EC0E-F4B6-4FED-A006-BBDC2AF499A9}">
  <dimension ref="A1:K176"/>
  <sheetViews>
    <sheetView workbookViewId="0">
      <selection activeCell="I11" sqref="I11:J11"/>
    </sheetView>
  </sheetViews>
  <sheetFormatPr defaultColWidth="8.7109375" defaultRowHeight="15.6"/>
  <cols>
    <col min="1" max="3" width="8.7109375" style="2"/>
    <col min="4" max="4" width="24.5703125" style="2" customWidth="1"/>
    <col min="5" max="5" width="34.5703125" style="2" customWidth="1"/>
    <col min="6" max="6" width="36.42578125" style="2" customWidth="1"/>
    <col min="7" max="7" width="28.140625" style="2" customWidth="1"/>
    <col min="8" max="9" width="26.42578125" style="2" customWidth="1"/>
    <col min="10" max="10" width="13.5703125" style="2" customWidth="1"/>
    <col min="11" max="11" width="26.140625" style="2" customWidth="1"/>
    <col min="12" max="16384" width="8.7109375" style="2"/>
  </cols>
  <sheetData>
    <row r="1" spans="1:11">
      <c r="A1" s="1" t="s">
        <v>3865</v>
      </c>
    </row>
    <row r="2" spans="1:11">
      <c r="A2" s="1"/>
    </row>
    <row r="4" spans="1:11" ht="15.95" thickBot="1">
      <c r="A4" s="1"/>
    </row>
    <row r="5" spans="1:11" ht="15.95" thickBot="1">
      <c r="A5" s="6" t="s">
        <v>3866</v>
      </c>
      <c r="B5" s="6" t="s">
        <v>3867</v>
      </c>
      <c r="C5" s="6" t="s">
        <v>2192</v>
      </c>
      <c r="D5" s="6" t="s">
        <v>3868</v>
      </c>
      <c r="E5" s="6" t="s">
        <v>2194</v>
      </c>
      <c r="F5" s="7" t="s">
        <v>1626</v>
      </c>
      <c r="G5" s="7" t="s">
        <v>2195</v>
      </c>
      <c r="H5" s="7" t="s">
        <v>2196</v>
      </c>
      <c r="I5" s="7" t="s">
        <v>2299</v>
      </c>
      <c r="J5" s="7" t="s">
        <v>2198</v>
      </c>
      <c r="K5" s="20"/>
    </row>
    <row r="6" spans="1:11" ht="15.95" thickBot="1">
      <c r="A6" s="1"/>
      <c r="C6" s="1" t="s">
        <v>3869</v>
      </c>
      <c r="E6" s="1" t="s">
        <v>3870</v>
      </c>
      <c r="F6" s="5" t="s">
        <v>3871</v>
      </c>
      <c r="G6" s="5" t="s">
        <v>3872</v>
      </c>
      <c r="H6" s="5" t="s">
        <v>3873</v>
      </c>
      <c r="I6" s="5" t="s">
        <v>3874</v>
      </c>
      <c r="J6" s="5" t="s">
        <v>3875</v>
      </c>
    </row>
    <row r="7" spans="1:11" ht="15.95" thickBot="1">
      <c r="C7" s="1" t="s">
        <v>3876</v>
      </c>
      <c r="F7" s="5" t="s">
        <v>3877</v>
      </c>
      <c r="G7" s="5" t="s">
        <v>3878</v>
      </c>
      <c r="H7" s="5" t="s">
        <v>3879</v>
      </c>
      <c r="I7" s="5" t="s">
        <v>3880</v>
      </c>
      <c r="J7" s="5" t="s">
        <v>3881</v>
      </c>
    </row>
    <row r="8" spans="1:11" ht="15.95" thickBot="1">
      <c r="A8" s="1"/>
      <c r="F8" s="5" t="s">
        <v>3882</v>
      </c>
      <c r="G8" s="5" t="s">
        <v>3883</v>
      </c>
      <c r="H8" s="5" t="s">
        <v>3884</v>
      </c>
      <c r="I8" s="5" t="s">
        <v>3885</v>
      </c>
      <c r="J8" s="5" t="s">
        <v>3886</v>
      </c>
    </row>
    <row r="9" spans="1:11" ht="15.95" thickBot="1">
      <c r="F9" s="5" t="s">
        <v>3887</v>
      </c>
      <c r="G9" s="5" t="s">
        <v>3888</v>
      </c>
      <c r="H9" s="5" t="s">
        <v>3889</v>
      </c>
      <c r="I9" s="5" t="s">
        <v>3890</v>
      </c>
      <c r="J9" s="5" t="s">
        <v>3891</v>
      </c>
    </row>
    <row r="10" spans="1:11" ht="15.95" thickBot="1">
      <c r="F10" s="5" t="s">
        <v>3892</v>
      </c>
      <c r="G10" s="5" t="s">
        <v>3893</v>
      </c>
      <c r="H10" s="5" t="s">
        <v>3894</v>
      </c>
      <c r="I10" s="5" t="s">
        <v>3895</v>
      </c>
      <c r="J10" s="5" t="s">
        <v>3896</v>
      </c>
    </row>
    <row r="11" spans="1:11" ht="15.95" thickBot="1">
      <c r="F11" s="5" t="s">
        <v>3897</v>
      </c>
      <c r="G11" s="5" t="s">
        <v>3898</v>
      </c>
      <c r="H11" s="5" t="s">
        <v>3899</v>
      </c>
      <c r="I11" s="5" t="s">
        <v>3900</v>
      </c>
      <c r="J11" s="5" t="s">
        <v>3901</v>
      </c>
    </row>
    <row r="12" spans="1:11" ht="15.95" thickBot="1">
      <c r="A12" s="1"/>
      <c r="F12" s="5" t="s">
        <v>3902</v>
      </c>
      <c r="G12" s="5" t="s">
        <v>3903</v>
      </c>
      <c r="H12" s="5" t="s">
        <v>3904</v>
      </c>
      <c r="I12" s="5" t="s">
        <v>3905</v>
      </c>
      <c r="J12" s="5" t="s">
        <v>3906</v>
      </c>
    </row>
    <row r="13" spans="1:11" ht="15.95" thickBot="1">
      <c r="F13" s="5" t="s">
        <v>3907</v>
      </c>
      <c r="G13" s="5" t="s">
        <v>3908</v>
      </c>
      <c r="H13" s="5" t="s">
        <v>3909</v>
      </c>
      <c r="I13" s="5" t="s">
        <v>3910</v>
      </c>
      <c r="J13" s="5" t="s">
        <v>2835</v>
      </c>
    </row>
    <row r="14" spans="1:11" ht="15.95" thickBot="1">
      <c r="A14" s="1"/>
      <c r="F14" s="5" t="s">
        <v>2960</v>
      </c>
      <c r="G14" s="5" t="s">
        <v>3911</v>
      </c>
      <c r="H14" s="5" t="s">
        <v>3912</v>
      </c>
      <c r="I14" s="5" t="s">
        <v>3913</v>
      </c>
      <c r="J14" s="5" t="s">
        <v>3914</v>
      </c>
    </row>
    <row r="15" spans="1:11" ht="15.95" thickBot="1">
      <c r="F15" s="5" t="s">
        <v>3915</v>
      </c>
      <c r="G15" s="5" t="s">
        <v>3916</v>
      </c>
      <c r="H15" s="5" t="s">
        <v>2206</v>
      </c>
      <c r="I15" s="5" t="s">
        <v>3917</v>
      </c>
      <c r="J15" s="5" t="s">
        <v>3918</v>
      </c>
    </row>
    <row r="16" spans="1:11" ht="15.95" thickBot="1">
      <c r="A16" s="1"/>
      <c r="D16" s="6" t="s">
        <v>3919</v>
      </c>
      <c r="E16" s="20"/>
      <c r="F16" s="7" t="s">
        <v>143</v>
      </c>
      <c r="G16" s="7" t="s">
        <v>2266</v>
      </c>
    </row>
    <row r="17" spans="1:8" ht="15.95" thickBot="1">
      <c r="F17" s="5" t="s">
        <v>2845</v>
      </c>
      <c r="G17" s="19">
        <v>-0.6</v>
      </c>
    </row>
    <row r="18" spans="1:8" ht="15.95" thickBot="1">
      <c r="A18" s="1"/>
      <c r="F18" s="5" t="s">
        <v>3920</v>
      </c>
      <c r="G18" s="5" t="s">
        <v>1047</v>
      </c>
    </row>
    <row r="19" spans="1:8" ht="15.95" thickBot="1">
      <c r="F19" s="5" t="s">
        <v>3921</v>
      </c>
      <c r="G19" s="5" t="s">
        <v>1052</v>
      </c>
    </row>
    <row r="20" spans="1:8" ht="15.95" thickBot="1">
      <c r="F20" s="5" t="s">
        <v>3922</v>
      </c>
      <c r="G20" s="19">
        <v>-0.7</v>
      </c>
    </row>
    <row r="21" spans="1:8" ht="15.95" thickBot="1">
      <c r="F21" s="5" t="s">
        <v>3923</v>
      </c>
      <c r="G21" s="19">
        <v>-0.5</v>
      </c>
    </row>
    <row r="22" spans="1:8" ht="15.95" thickBot="1">
      <c r="A22" s="1"/>
      <c r="F22" s="5" t="s">
        <v>2843</v>
      </c>
      <c r="G22" s="5" t="s">
        <v>1052</v>
      </c>
    </row>
    <row r="23" spans="1:8" ht="15.95" thickBot="1">
      <c r="F23" s="5" t="s">
        <v>3924</v>
      </c>
      <c r="G23" s="5" t="s">
        <v>3925</v>
      </c>
    </row>
    <row r="24" spans="1:8" ht="15.95" thickBot="1">
      <c r="F24" s="5" t="s">
        <v>1630</v>
      </c>
      <c r="G24" s="5" t="s">
        <v>1060</v>
      </c>
    </row>
    <row r="25" spans="1:8" ht="15.95" thickBot="1">
      <c r="F25" s="5" t="s">
        <v>3926</v>
      </c>
      <c r="G25" s="5" t="s">
        <v>3927</v>
      </c>
    </row>
    <row r="26" spans="1:8" ht="15.95" thickBot="1">
      <c r="F26" s="5" t="s">
        <v>3928</v>
      </c>
      <c r="G26" s="19">
        <v>1</v>
      </c>
    </row>
    <row r="27" spans="1:8" ht="15.95" thickBot="1">
      <c r="D27" s="6" t="s">
        <v>3929</v>
      </c>
      <c r="E27" s="20"/>
      <c r="F27" s="7" t="s">
        <v>2281</v>
      </c>
      <c r="G27" s="7" t="s">
        <v>2282</v>
      </c>
      <c r="H27" s="7" t="s">
        <v>2283</v>
      </c>
    </row>
    <row r="28" spans="1:8" ht="15.95" thickBot="1">
      <c r="F28" s="5" t="s">
        <v>2131</v>
      </c>
      <c r="G28" s="5" t="s">
        <v>1012</v>
      </c>
      <c r="H28" s="5" t="s">
        <v>3930</v>
      </c>
    </row>
    <row r="29" spans="1:8" ht="15.95" thickBot="1">
      <c r="F29" s="5" t="s">
        <v>2133</v>
      </c>
      <c r="G29" s="5" t="s">
        <v>1012</v>
      </c>
      <c r="H29" s="5" t="s">
        <v>3931</v>
      </c>
    </row>
    <row r="30" spans="1:8" ht="15.95" thickBot="1">
      <c r="F30" s="5" t="s">
        <v>3932</v>
      </c>
      <c r="G30" s="5" t="s">
        <v>1012</v>
      </c>
      <c r="H30" s="5" t="s">
        <v>3933</v>
      </c>
    </row>
    <row r="31" spans="1:8" ht="15.95" thickBot="1">
      <c r="F31" s="5" t="s">
        <v>3934</v>
      </c>
      <c r="G31" s="5" t="s">
        <v>2290</v>
      </c>
      <c r="H31" s="5" t="s">
        <v>3935</v>
      </c>
    </row>
    <row r="32" spans="1:8" ht="15.95" thickBot="1">
      <c r="F32" s="5" t="s">
        <v>3936</v>
      </c>
      <c r="G32" s="5" t="s">
        <v>2290</v>
      </c>
      <c r="H32" s="5" t="s">
        <v>3937</v>
      </c>
    </row>
    <row r="33" spans="4:11" ht="15.95" thickBot="1">
      <c r="F33" s="5" t="s">
        <v>3938</v>
      </c>
      <c r="G33" s="5" t="s">
        <v>1012</v>
      </c>
      <c r="H33" s="5" t="s">
        <v>3939</v>
      </c>
    </row>
    <row r="34" spans="4:11" ht="15.95" thickBot="1">
      <c r="F34" s="5" t="s">
        <v>3940</v>
      </c>
      <c r="G34" s="5" t="s">
        <v>1012</v>
      </c>
      <c r="H34" s="5" t="s">
        <v>3941</v>
      </c>
    </row>
    <row r="35" spans="4:11" ht="15.95" thickBot="1">
      <c r="F35" s="5" t="s">
        <v>3942</v>
      </c>
      <c r="G35" s="5" t="s">
        <v>2290</v>
      </c>
      <c r="H35" s="5" t="s">
        <v>3943</v>
      </c>
    </row>
    <row r="36" spans="4:11" ht="15.95" thickBot="1">
      <c r="D36" s="6" t="s">
        <v>3944</v>
      </c>
      <c r="E36" s="6" t="s">
        <v>2194</v>
      </c>
      <c r="F36" s="20"/>
      <c r="G36" s="7" t="s">
        <v>1626</v>
      </c>
      <c r="H36" s="7" t="s">
        <v>2195</v>
      </c>
      <c r="I36" s="7" t="s">
        <v>2196</v>
      </c>
      <c r="J36" s="7" t="s">
        <v>2299</v>
      </c>
      <c r="K36" s="7" t="s">
        <v>2198</v>
      </c>
    </row>
    <row r="37" spans="4:11" ht="15.95" thickBot="1">
      <c r="E37" s="1" t="s">
        <v>3945</v>
      </c>
      <c r="G37" s="5" t="s">
        <v>3946</v>
      </c>
      <c r="H37" s="5" t="s">
        <v>3947</v>
      </c>
      <c r="I37" s="5" t="s">
        <v>3948</v>
      </c>
      <c r="J37" s="5" t="s">
        <v>3949</v>
      </c>
      <c r="K37" s="5" t="s">
        <v>3950</v>
      </c>
    </row>
    <row r="38" spans="4:11" ht="15.95" thickBot="1">
      <c r="G38" s="5" t="s">
        <v>3951</v>
      </c>
      <c r="H38" s="5" t="s">
        <v>3952</v>
      </c>
      <c r="I38" s="5" t="s">
        <v>3953</v>
      </c>
      <c r="J38" s="5" t="s">
        <v>3954</v>
      </c>
      <c r="K38" s="5" t="s">
        <v>3955</v>
      </c>
    </row>
    <row r="39" spans="4:11" ht="15.95" thickBot="1">
      <c r="G39" s="5" t="s">
        <v>3956</v>
      </c>
      <c r="H39" s="5" t="s">
        <v>3957</v>
      </c>
      <c r="I39" s="5" t="s">
        <v>3958</v>
      </c>
      <c r="J39" s="5" t="s">
        <v>3959</v>
      </c>
      <c r="K39" s="5" t="s">
        <v>3960</v>
      </c>
    </row>
    <row r="40" spans="4:11" ht="15.95" thickBot="1">
      <c r="G40" s="5" t="s">
        <v>3961</v>
      </c>
      <c r="H40" s="5" t="s">
        <v>3962</v>
      </c>
      <c r="I40" s="5" t="s">
        <v>3963</v>
      </c>
      <c r="J40" s="5" t="s">
        <v>3964</v>
      </c>
      <c r="K40" s="5" t="s">
        <v>3965</v>
      </c>
    </row>
    <row r="41" spans="4:11" ht="15.95" thickBot="1">
      <c r="G41" s="5" t="s">
        <v>3966</v>
      </c>
      <c r="H41" s="5" t="s">
        <v>3967</v>
      </c>
      <c r="I41" s="5" t="s">
        <v>3968</v>
      </c>
      <c r="J41" s="5" t="s">
        <v>3969</v>
      </c>
      <c r="K41" s="5" t="s">
        <v>3970</v>
      </c>
    </row>
    <row r="42" spans="4:11" ht="15.95" thickBot="1">
      <c r="G42" s="5" t="s">
        <v>3971</v>
      </c>
      <c r="H42" s="5" t="s">
        <v>3972</v>
      </c>
      <c r="I42" s="5" t="s">
        <v>3973</v>
      </c>
      <c r="J42" s="5" t="s">
        <v>3974</v>
      </c>
      <c r="K42" s="5" t="s">
        <v>3975</v>
      </c>
    </row>
    <row r="43" spans="4:11" ht="15.95" thickBot="1">
      <c r="G43" s="5" t="s">
        <v>3976</v>
      </c>
      <c r="H43" s="5" t="s">
        <v>3977</v>
      </c>
      <c r="I43" s="5" t="s">
        <v>3978</v>
      </c>
      <c r="J43" s="5" t="s">
        <v>3979</v>
      </c>
      <c r="K43" s="5" t="s">
        <v>3980</v>
      </c>
    </row>
    <row r="44" spans="4:11" ht="15.95" thickBot="1">
      <c r="G44" s="5" t="s">
        <v>3981</v>
      </c>
      <c r="H44" s="5" t="s">
        <v>3982</v>
      </c>
      <c r="I44" s="5" t="s">
        <v>3983</v>
      </c>
      <c r="J44" s="5" t="s">
        <v>3984</v>
      </c>
      <c r="K44" s="5" t="s">
        <v>3985</v>
      </c>
    </row>
    <row r="45" spans="4:11" ht="15.95" thickBot="1">
      <c r="G45" s="5" t="s">
        <v>3986</v>
      </c>
      <c r="H45" s="5" t="s">
        <v>3987</v>
      </c>
      <c r="I45" s="5" t="s">
        <v>3988</v>
      </c>
      <c r="J45" s="5" t="s">
        <v>3989</v>
      </c>
      <c r="K45" s="5" t="s">
        <v>3914</v>
      </c>
    </row>
    <row r="46" spans="4:11" ht="15.95" thickBot="1">
      <c r="G46" s="5" t="s">
        <v>3990</v>
      </c>
      <c r="H46" s="5" t="s">
        <v>3991</v>
      </c>
      <c r="I46" s="5" t="s">
        <v>3992</v>
      </c>
      <c r="J46" s="5" t="s">
        <v>3993</v>
      </c>
      <c r="K46" s="5" t="s">
        <v>3994</v>
      </c>
    </row>
    <row r="47" spans="4:11" ht="15.95" thickBot="1">
      <c r="D47" s="3" t="s">
        <v>3995</v>
      </c>
      <c r="E47" s="20"/>
      <c r="F47" s="20"/>
      <c r="G47" s="7" t="s">
        <v>143</v>
      </c>
      <c r="H47" s="7" t="s">
        <v>2266</v>
      </c>
    </row>
    <row r="48" spans="4:11" ht="15.95" thickBot="1">
      <c r="G48" s="5" t="s">
        <v>3996</v>
      </c>
      <c r="H48" s="19">
        <v>-0.5</v>
      </c>
    </row>
    <row r="49" spans="4:9" ht="15.95" thickBot="1">
      <c r="G49" s="5" t="s">
        <v>3997</v>
      </c>
      <c r="H49" s="5" t="s">
        <v>1047</v>
      </c>
    </row>
    <row r="50" spans="4:9" ht="15.95" thickBot="1">
      <c r="G50" s="5" t="s">
        <v>3998</v>
      </c>
      <c r="H50" s="5" t="s">
        <v>3927</v>
      </c>
    </row>
    <row r="51" spans="4:9" ht="15.95" thickBot="1">
      <c r="G51" s="5" t="s">
        <v>3999</v>
      </c>
      <c r="H51" s="5" t="s">
        <v>1047</v>
      </c>
    </row>
    <row r="52" spans="4:9" ht="15.95" thickBot="1">
      <c r="G52" s="5" t="s">
        <v>4000</v>
      </c>
      <c r="H52" s="5" t="s">
        <v>1047</v>
      </c>
    </row>
    <row r="53" spans="4:9" ht="15.95" thickBot="1">
      <c r="G53" s="5" t="s">
        <v>4001</v>
      </c>
      <c r="H53" s="19">
        <v>-0.7</v>
      </c>
    </row>
    <row r="54" spans="4:9" ht="15.95" thickBot="1">
      <c r="G54" s="5" t="s">
        <v>1630</v>
      </c>
      <c r="H54" s="5" t="s">
        <v>1060</v>
      </c>
    </row>
    <row r="55" spans="4:9" ht="15.95" thickBot="1">
      <c r="G55" s="5" t="s">
        <v>4002</v>
      </c>
      <c r="H55" s="19">
        <v>-0.4</v>
      </c>
    </row>
    <row r="56" spans="4:9" ht="15.95" thickBot="1">
      <c r="G56" s="5" t="s">
        <v>4003</v>
      </c>
      <c r="H56" s="5" t="s">
        <v>1047</v>
      </c>
    </row>
    <row r="57" spans="4:9" ht="15.95" thickBot="1">
      <c r="G57" s="5" t="s">
        <v>1570</v>
      </c>
      <c r="H57" s="19">
        <v>1</v>
      </c>
    </row>
    <row r="58" spans="4:9" ht="15.95" thickBot="1">
      <c r="D58" s="3" t="s">
        <v>4004</v>
      </c>
      <c r="E58" s="20"/>
      <c r="F58" s="20"/>
      <c r="G58" s="7" t="s">
        <v>2281</v>
      </c>
      <c r="H58" s="7" t="s">
        <v>2282</v>
      </c>
      <c r="I58" s="7" t="s">
        <v>2283</v>
      </c>
    </row>
    <row r="59" spans="4:9" ht="15.95" thickBot="1">
      <c r="F59" s="1"/>
      <c r="G59" s="5" t="s">
        <v>4005</v>
      </c>
      <c r="H59" s="5" t="s">
        <v>1012</v>
      </c>
      <c r="I59" s="5" t="s">
        <v>4006</v>
      </c>
    </row>
    <row r="60" spans="4:9" ht="15.95" thickBot="1">
      <c r="G60" s="5" t="s">
        <v>4007</v>
      </c>
      <c r="H60" s="5" t="s">
        <v>1012</v>
      </c>
      <c r="I60" s="5" t="s">
        <v>4008</v>
      </c>
    </row>
    <row r="61" spans="4:9" ht="15.95" thickBot="1">
      <c r="G61" s="5" t="s">
        <v>4009</v>
      </c>
      <c r="H61" s="5" t="s">
        <v>2290</v>
      </c>
      <c r="I61" s="5" t="s">
        <v>4010</v>
      </c>
    </row>
    <row r="62" spans="4:9" ht="15.95" thickBot="1">
      <c r="G62" s="5" t="s">
        <v>2938</v>
      </c>
      <c r="H62" s="5" t="s">
        <v>1012</v>
      </c>
      <c r="I62" s="5" t="s">
        <v>4011</v>
      </c>
    </row>
    <row r="63" spans="4:9" ht="15.95" thickBot="1">
      <c r="G63" s="5" t="s">
        <v>4012</v>
      </c>
      <c r="H63" s="5" t="s">
        <v>1012</v>
      </c>
      <c r="I63" s="5" t="s">
        <v>4013</v>
      </c>
    </row>
    <row r="64" spans="4:9" ht="15.95" thickBot="1">
      <c r="G64" s="5" t="s">
        <v>4014</v>
      </c>
      <c r="H64" s="5" t="s">
        <v>2290</v>
      </c>
      <c r="I64" s="5" t="s">
        <v>3651</v>
      </c>
    </row>
    <row r="65" spans="4:11" ht="15.95" thickBot="1">
      <c r="G65" s="5" t="s">
        <v>4015</v>
      </c>
      <c r="H65" s="5" t="s">
        <v>2290</v>
      </c>
      <c r="I65" s="5" t="s">
        <v>4016</v>
      </c>
    </row>
    <row r="66" spans="4:11" ht="15.95" thickBot="1">
      <c r="G66" s="5" t="s">
        <v>4017</v>
      </c>
      <c r="H66" s="5" t="s">
        <v>2290</v>
      </c>
      <c r="I66" s="5" t="s">
        <v>4018</v>
      </c>
    </row>
    <row r="67" spans="4:11" ht="15.95" thickBot="1">
      <c r="D67" s="6" t="s">
        <v>4019</v>
      </c>
      <c r="E67" s="20"/>
      <c r="F67" s="6" t="s">
        <v>2194</v>
      </c>
      <c r="G67" s="7" t="s">
        <v>1626</v>
      </c>
      <c r="H67" s="7" t="s">
        <v>2195</v>
      </c>
      <c r="I67" s="7" t="s">
        <v>2196</v>
      </c>
      <c r="J67" s="7" t="s">
        <v>2299</v>
      </c>
      <c r="K67" s="7" t="s">
        <v>2198</v>
      </c>
    </row>
    <row r="68" spans="4:11" ht="15.95" thickBot="1">
      <c r="F68" s="1" t="s">
        <v>4020</v>
      </c>
      <c r="G68" s="5" t="s">
        <v>4021</v>
      </c>
      <c r="H68" s="5" t="s">
        <v>4022</v>
      </c>
      <c r="I68" s="5" t="s">
        <v>4023</v>
      </c>
      <c r="J68" s="5" t="s">
        <v>4024</v>
      </c>
      <c r="K68" s="5" t="s">
        <v>4025</v>
      </c>
    </row>
    <row r="69" spans="4:11" ht="15.95" thickBot="1">
      <c r="G69" s="5" t="s">
        <v>4026</v>
      </c>
      <c r="H69" s="5" t="s">
        <v>4027</v>
      </c>
      <c r="I69" s="5" t="s">
        <v>3625</v>
      </c>
      <c r="J69" s="5" t="s">
        <v>4028</v>
      </c>
      <c r="K69" s="5" t="s">
        <v>4029</v>
      </c>
    </row>
    <row r="70" spans="4:11" ht="15.95" thickBot="1">
      <c r="F70" s="1"/>
      <c r="G70" s="5" t="s">
        <v>4030</v>
      </c>
      <c r="H70" s="5" t="s">
        <v>4031</v>
      </c>
      <c r="I70" s="5" t="s">
        <v>4032</v>
      </c>
      <c r="J70" s="5" t="s">
        <v>4033</v>
      </c>
      <c r="K70" s="5" t="s">
        <v>4034</v>
      </c>
    </row>
    <row r="71" spans="4:11" ht="15.95" thickBot="1">
      <c r="G71" s="5" t="s">
        <v>4035</v>
      </c>
      <c r="H71" s="5" t="s">
        <v>4036</v>
      </c>
      <c r="I71" s="5" t="s">
        <v>4037</v>
      </c>
      <c r="J71" s="5" t="s">
        <v>4038</v>
      </c>
      <c r="K71" s="5" t="s">
        <v>4039</v>
      </c>
    </row>
    <row r="72" spans="4:11" ht="15.95" thickBot="1">
      <c r="F72" s="1"/>
      <c r="G72" s="5" t="s">
        <v>4040</v>
      </c>
      <c r="H72" s="5" t="s">
        <v>4041</v>
      </c>
      <c r="I72" s="5" t="s">
        <v>4042</v>
      </c>
      <c r="J72" s="5" t="s">
        <v>4043</v>
      </c>
      <c r="K72" s="5" t="s">
        <v>4044</v>
      </c>
    </row>
    <row r="73" spans="4:11" ht="15.95" thickBot="1">
      <c r="G73" s="5" t="s">
        <v>4045</v>
      </c>
      <c r="H73" s="5" t="s">
        <v>4046</v>
      </c>
      <c r="I73" s="5" t="s">
        <v>4047</v>
      </c>
      <c r="J73" s="5" t="s">
        <v>4048</v>
      </c>
      <c r="K73" s="5" t="s">
        <v>4049</v>
      </c>
    </row>
    <row r="74" spans="4:11" ht="15.95" thickBot="1">
      <c r="G74" s="5" t="s">
        <v>4050</v>
      </c>
      <c r="H74" s="5" t="s">
        <v>4051</v>
      </c>
      <c r="I74" s="5" t="s">
        <v>4052</v>
      </c>
      <c r="J74" s="5" t="s">
        <v>4053</v>
      </c>
      <c r="K74" s="5" t="s">
        <v>4054</v>
      </c>
    </row>
    <row r="75" spans="4:11" ht="15.95" thickBot="1">
      <c r="G75" s="5" t="s">
        <v>4055</v>
      </c>
      <c r="H75" s="5" t="s">
        <v>4056</v>
      </c>
      <c r="I75" s="5" t="s">
        <v>4057</v>
      </c>
      <c r="J75" s="5" t="s">
        <v>4058</v>
      </c>
      <c r="K75" s="5" t="s">
        <v>4059</v>
      </c>
    </row>
    <row r="76" spans="4:11" ht="15.95" thickBot="1">
      <c r="F76" s="1"/>
      <c r="G76" s="5" t="s">
        <v>4060</v>
      </c>
      <c r="H76" s="5" t="s">
        <v>4061</v>
      </c>
      <c r="I76" s="5" t="s">
        <v>4062</v>
      </c>
      <c r="J76" s="5" t="s">
        <v>4063</v>
      </c>
      <c r="K76" s="5" t="s">
        <v>4064</v>
      </c>
    </row>
    <row r="77" spans="4:11" ht="15.95" thickBot="1">
      <c r="G77" s="5" t="s">
        <v>4065</v>
      </c>
      <c r="H77" s="5" t="s">
        <v>4066</v>
      </c>
      <c r="I77" s="5" t="s">
        <v>4067</v>
      </c>
      <c r="J77" s="5" t="s">
        <v>4068</v>
      </c>
      <c r="K77" s="5" t="s">
        <v>4069</v>
      </c>
    </row>
    <row r="78" spans="4:11" ht="15.95" thickBot="1">
      <c r="D78" s="6" t="s">
        <v>4070</v>
      </c>
      <c r="E78" s="20"/>
      <c r="F78" s="20"/>
      <c r="G78" s="7" t="s">
        <v>143</v>
      </c>
      <c r="H78" s="7" t="s">
        <v>2266</v>
      </c>
    </row>
    <row r="79" spans="4:11" ht="15.95" thickBot="1">
      <c r="G79" s="5" t="s">
        <v>4071</v>
      </c>
      <c r="H79" s="16">
        <v>-0.8</v>
      </c>
    </row>
    <row r="80" spans="4:11" ht="15.95" thickBot="1">
      <c r="G80" s="5" t="s">
        <v>4072</v>
      </c>
      <c r="H80" s="16">
        <v>-0.9</v>
      </c>
    </row>
    <row r="81" spans="4:8" ht="15.95" thickBot="1">
      <c r="G81" s="5" t="s">
        <v>4073</v>
      </c>
      <c r="H81" s="16">
        <v>-0.7</v>
      </c>
    </row>
    <row r="82" spans="4:8" ht="15.95" thickBot="1">
      <c r="G82" s="5" t="s">
        <v>4074</v>
      </c>
      <c r="H82" s="15" t="s">
        <v>1060</v>
      </c>
    </row>
    <row r="83" spans="4:8" ht="15.95" thickBot="1">
      <c r="G83" s="5" t="s">
        <v>4075</v>
      </c>
      <c r="H83" s="15" t="s">
        <v>1060</v>
      </c>
    </row>
    <row r="84" spans="4:8" ht="15.95" thickBot="1">
      <c r="G84" s="5" t="s">
        <v>4076</v>
      </c>
      <c r="H84" s="15" t="s">
        <v>1074</v>
      </c>
    </row>
    <row r="85" spans="4:8" ht="15.95" thickBot="1">
      <c r="G85" s="5" t="s">
        <v>4077</v>
      </c>
      <c r="H85" s="16">
        <v>1</v>
      </c>
    </row>
    <row r="86" spans="4:8" ht="15.95" thickBot="1">
      <c r="G86" s="5" t="s">
        <v>4078</v>
      </c>
      <c r="H86" s="15" t="s">
        <v>1047</v>
      </c>
    </row>
    <row r="87" spans="4:8" ht="15.95" thickBot="1">
      <c r="G87" s="5" t="s">
        <v>4079</v>
      </c>
      <c r="H87" s="16">
        <v>-0.8</v>
      </c>
    </row>
    <row r="88" spans="4:8" ht="15.95" thickBot="1">
      <c r="G88" s="5" t="s">
        <v>4080</v>
      </c>
      <c r="H88" s="15" t="s">
        <v>1060</v>
      </c>
    </row>
    <row r="89" spans="4:8" ht="15.95" thickBot="1">
      <c r="D89" s="6" t="s">
        <v>4081</v>
      </c>
      <c r="E89" s="20"/>
      <c r="F89" s="7" t="s">
        <v>2281</v>
      </c>
      <c r="G89" s="7" t="s">
        <v>2282</v>
      </c>
      <c r="H89" s="7" t="s">
        <v>2283</v>
      </c>
    </row>
    <row r="90" spans="4:8" ht="15.95" thickBot="1">
      <c r="F90" s="5" t="s">
        <v>4082</v>
      </c>
      <c r="G90" s="5" t="s">
        <v>1012</v>
      </c>
      <c r="H90" s="5" t="s">
        <v>4083</v>
      </c>
    </row>
    <row r="91" spans="4:8" ht="15.95" thickBot="1">
      <c r="F91" s="5" t="s">
        <v>4084</v>
      </c>
      <c r="G91" s="5" t="s">
        <v>1012</v>
      </c>
      <c r="H91" s="5" t="s">
        <v>4085</v>
      </c>
    </row>
    <row r="92" spans="4:8" ht="15.95" thickBot="1">
      <c r="F92" s="5" t="s">
        <v>4086</v>
      </c>
      <c r="G92" s="5" t="s">
        <v>2290</v>
      </c>
      <c r="H92" s="5" t="s">
        <v>4087</v>
      </c>
    </row>
    <row r="93" spans="4:8" ht="15.95" thickBot="1">
      <c r="F93" s="5" t="s">
        <v>4088</v>
      </c>
      <c r="G93" s="5" t="s">
        <v>1012</v>
      </c>
      <c r="H93" s="5" t="s">
        <v>4089</v>
      </c>
    </row>
    <row r="94" spans="4:8" ht="15.95" thickBot="1">
      <c r="F94" s="5" t="s">
        <v>4090</v>
      </c>
      <c r="G94" s="5" t="s">
        <v>1012</v>
      </c>
      <c r="H94" s="5" t="s">
        <v>4091</v>
      </c>
    </row>
    <row r="95" spans="4:8" ht="15.95" thickBot="1">
      <c r="F95" s="5" t="s">
        <v>4092</v>
      </c>
      <c r="G95" s="5" t="s">
        <v>2290</v>
      </c>
      <c r="H95" s="5" t="s">
        <v>4093</v>
      </c>
    </row>
    <row r="96" spans="4:8" ht="15.95" thickBot="1">
      <c r="F96" s="5" t="s">
        <v>4094</v>
      </c>
      <c r="G96" s="5" t="s">
        <v>2290</v>
      </c>
      <c r="H96" s="5" t="s">
        <v>4095</v>
      </c>
    </row>
    <row r="97" spans="4:9" ht="15.95" thickBot="1">
      <c r="F97" s="5" t="s">
        <v>4096</v>
      </c>
      <c r="G97" s="5" t="s">
        <v>2290</v>
      </c>
      <c r="H97" s="5" t="s">
        <v>4097</v>
      </c>
    </row>
    <row r="98" spans="4:9" ht="15.95" thickBot="1">
      <c r="D98" s="6" t="s">
        <v>4098</v>
      </c>
      <c r="E98" s="6" t="s">
        <v>2194</v>
      </c>
      <c r="F98" s="7" t="s">
        <v>1626</v>
      </c>
      <c r="G98" s="7" t="s">
        <v>2195</v>
      </c>
      <c r="H98" s="7" t="s">
        <v>2196</v>
      </c>
      <c r="I98" s="7" t="s">
        <v>2299</v>
      </c>
    </row>
    <row r="99" spans="4:9" ht="15.95" thickBot="1">
      <c r="D99" s="21" t="s">
        <v>4099</v>
      </c>
      <c r="E99" s="1" t="s">
        <v>4100</v>
      </c>
      <c r="F99" s="5" t="s">
        <v>4101</v>
      </c>
      <c r="G99" s="5" t="s">
        <v>4102</v>
      </c>
      <c r="H99" s="5" t="s">
        <v>4103</v>
      </c>
      <c r="I99" s="5" t="s">
        <v>4104</v>
      </c>
    </row>
    <row r="100" spans="4:9" ht="15.95" thickBot="1">
      <c r="F100" s="5" t="s">
        <v>4105</v>
      </c>
      <c r="G100" s="5" t="s">
        <v>4106</v>
      </c>
      <c r="H100" s="5" t="s">
        <v>4107</v>
      </c>
      <c r="I100" s="5" t="s">
        <v>4108</v>
      </c>
    </row>
    <row r="101" spans="4:9" ht="15.95" thickBot="1">
      <c r="F101" s="5" t="s">
        <v>4109</v>
      </c>
      <c r="G101" s="5" t="s">
        <v>4110</v>
      </c>
      <c r="H101" s="5" t="s">
        <v>4111</v>
      </c>
      <c r="I101" s="5" t="s">
        <v>4112</v>
      </c>
    </row>
    <row r="102" spans="4:9" ht="15.95" thickBot="1">
      <c r="F102" s="5" t="s">
        <v>4113</v>
      </c>
      <c r="G102" s="5" t="s">
        <v>4114</v>
      </c>
      <c r="H102" s="5" t="s">
        <v>4115</v>
      </c>
      <c r="I102" s="5" t="s">
        <v>4116</v>
      </c>
    </row>
    <row r="103" spans="4:9" ht="15.95" thickBot="1">
      <c r="F103" s="5" t="s">
        <v>4117</v>
      </c>
      <c r="G103" s="5" t="s">
        <v>4118</v>
      </c>
      <c r="H103" s="5" t="s">
        <v>4119</v>
      </c>
      <c r="I103" s="5" t="s">
        <v>4120</v>
      </c>
    </row>
    <row r="104" spans="4:9" ht="15.95" thickBot="1">
      <c r="F104" s="5" t="s">
        <v>4121</v>
      </c>
      <c r="G104" s="5" t="s">
        <v>4122</v>
      </c>
      <c r="H104" s="5" t="s">
        <v>2226</v>
      </c>
      <c r="I104" s="5" t="s">
        <v>4123</v>
      </c>
    </row>
    <row r="105" spans="4:9" ht="15.95" thickBot="1">
      <c r="F105" s="5" t="s">
        <v>4124</v>
      </c>
      <c r="G105" s="5" t="s">
        <v>4125</v>
      </c>
      <c r="H105" s="5" t="s">
        <v>4126</v>
      </c>
      <c r="I105" s="5" t="s">
        <v>4127</v>
      </c>
    </row>
    <row r="106" spans="4:9" ht="15.95" thickBot="1">
      <c r="F106" s="5" t="s">
        <v>4128</v>
      </c>
      <c r="G106" s="5" t="s">
        <v>4129</v>
      </c>
      <c r="H106" s="5" t="s">
        <v>3912</v>
      </c>
      <c r="I106" s="5" t="s">
        <v>4130</v>
      </c>
    </row>
    <row r="107" spans="4:9" ht="15.95" thickBot="1">
      <c r="F107" s="5" t="s">
        <v>4131</v>
      </c>
      <c r="G107" s="5" t="s">
        <v>4132</v>
      </c>
      <c r="H107" s="5" t="s">
        <v>4133</v>
      </c>
      <c r="I107" s="5" t="s">
        <v>4134</v>
      </c>
    </row>
    <row r="108" spans="4:9" ht="15.95" thickBot="1">
      <c r="F108" s="5" t="s">
        <v>4135</v>
      </c>
      <c r="G108" s="5" t="s">
        <v>4136</v>
      </c>
      <c r="H108" s="5" t="s">
        <v>4137</v>
      </c>
      <c r="I108" s="5" t="s">
        <v>4138</v>
      </c>
    </row>
    <row r="109" spans="4:9" ht="15.95" thickBot="1">
      <c r="D109" s="6" t="s">
        <v>4139</v>
      </c>
      <c r="E109" s="20"/>
      <c r="F109" s="7" t="s">
        <v>2943</v>
      </c>
      <c r="G109" s="7" t="s">
        <v>2944</v>
      </c>
      <c r="H109" s="7" t="s">
        <v>3321</v>
      </c>
    </row>
    <row r="110" spans="4:9" ht="15.95" thickBot="1">
      <c r="F110" s="5" t="s">
        <v>4140</v>
      </c>
      <c r="G110" s="5" t="s">
        <v>4141</v>
      </c>
      <c r="H110" s="5" t="s">
        <v>4142</v>
      </c>
    </row>
    <row r="111" spans="4:9" ht="15.95" thickBot="1">
      <c r="F111" s="5" t="s">
        <v>4143</v>
      </c>
      <c r="G111" s="5" t="s">
        <v>4144</v>
      </c>
      <c r="H111" s="5" t="s">
        <v>4145</v>
      </c>
    </row>
    <row r="112" spans="4:9" ht="15.95" thickBot="1">
      <c r="F112" s="5" t="s">
        <v>4146</v>
      </c>
      <c r="G112" s="5" t="s">
        <v>4147</v>
      </c>
      <c r="H112" s="5" t="s">
        <v>4148</v>
      </c>
    </row>
    <row r="113" spans="4:8" ht="15.95" thickBot="1">
      <c r="F113" s="5" t="s">
        <v>4149</v>
      </c>
      <c r="G113" s="5" t="s">
        <v>4150</v>
      </c>
      <c r="H113" s="5" t="s">
        <v>4151</v>
      </c>
    </row>
    <row r="114" spans="4:8" ht="15.95" thickBot="1">
      <c r="F114" s="5" t="s">
        <v>3776</v>
      </c>
      <c r="G114" s="5" t="s">
        <v>4152</v>
      </c>
      <c r="H114" s="5" t="s">
        <v>4153</v>
      </c>
    </row>
    <row r="115" spans="4:8" ht="15.95" thickBot="1">
      <c r="F115" s="5" t="s">
        <v>2239</v>
      </c>
      <c r="G115" s="5" t="s">
        <v>4154</v>
      </c>
      <c r="H115" s="5" t="s">
        <v>2959</v>
      </c>
    </row>
    <row r="116" spans="4:8" ht="15.95" thickBot="1">
      <c r="F116" s="5" t="s">
        <v>2962</v>
      </c>
      <c r="G116" s="5" t="s">
        <v>4155</v>
      </c>
      <c r="H116" s="5" t="s">
        <v>2964</v>
      </c>
    </row>
    <row r="117" spans="4:8" ht="15.95" thickBot="1">
      <c r="F117" s="5" t="s">
        <v>510</v>
      </c>
      <c r="G117" s="5" t="s">
        <v>3336</v>
      </c>
      <c r="H117" s="5" t="s">
        <v>4156</v>
      </c>
    </row>
    <row r="118" spans="4:8" ht="15.95" thickBot="1">
      <c r="F118" s="5" t="s">
        <v>3779</v>
      </c>
      <c r="G118" s="5" t="s">
        <v>4157</v>
      </c>
      <c r="H118" s="5" t="s">
        <v>4158</v>
      </c>
    </row>
    <row r="119" spans="4:8" ht="15.95" thickBot="1">
      <c r="F119" s="5" t="s">
        <v>3340</v>
      </c>
      <c r="G119" s="5" t="s">
        <v>4159</v>
      </c>
      <c r="H119" s="5" t="s">
        <v>4160</v>
      </c>
    </row>
    <row r="120" spans="4:8" ht="15.95" thickBot="1">
      <c r="F120" s="5" t="s">
        <v>4161</v>
      </c>
      <c r="G120" s="5" t="s">
        <v>4162</v>
      </c>
      <c r="H120" s="5" t="s">
        <v>4163</v>
      </c>
    </row>
    <row r="121" spans="4:8" ht="15.95" thickBot="1">
      <c r="F121" s="5" t="s">
        <v>4164</v>
      </c>
      <c r="G121" s="5" t="s">
        <v>4165</v>
      </c>
      <c r="H121" s="5" t="s">
        <v>4166</v>
      </c>
    </row>
    <row r="122" spans="4:8" ht="15.95" thickBot="1">
      <c r="D122" s="6" t="s">
        <v>4167</v>
      </c>
      <c r="E122" s="20"/>
      <c r="F122" s="7" t="s">
        <v>4168</v>
      </c>
      <c r="G122" s="7" t="s">
        <v>4169</v>
      </c>
    </row>
    <row r="123" spans="4:8" ht="15.95" thickBot="1">
      <c r="F123" s="5" t="s">
        <v>4170</v>
      </c>
      <c r="G123" s="5" t="s">
        <v>4171</v>
      </c>
    </row>
    <row r="124" spans="4:8" ht="15.95" thickBot="1">
      <c r="F124" s="5" t="s">
        <v>4172</v>
      </c>
      <c r="G124" s="5" t="s">
        <v>4173</v>
      </c>
    </row>
    <row r="125" spans="4:8" ht="15.95" thickBot="1">
      <c r="F125" s="5" t="s">
        <v>4174</v>
      </c>
      <c r="G125" s="5" t="s">
        <v>4175</v>
      </c>
    </row>
    <row r="126" spans="4:8" ht="15.95" thickBot="1">
      <c r="F126" s="5" t="s">
        <v>4176</v>
      </c>
      <c r="G126" s="5" t="s">
        <v>4177</v>
      </c>
    </row>
    <row r="127" spans="4:8" ht="15.95" thickBot="1">
      <c r="F127" s="5" t="s">
        <v>4178</v>
      </c>
      <c r="G127" s="5" t="s">
        <v>4179</v>
      </c>
    </row>
    <row r="128" spans="4:8" ht="15.95" thickBot="1">
      <c r="F128" s="5" t="s">
        <v>4180</v>
      </c>
      <c r="G128" s="5" t="s">
        <v>4181</v>
      </c>
    </row>
    <row r="129" spans="4:7" ht="15.95" thickBot="1">
      <c r="F129" s="5" t="s">
        <v>4182</v>
      </c>
      <c r="G129" s="5" t="s">
        <v>4183</v>
      </c>
    </row>
    <row r="130" spans="4:7" ht="15.95" thickBot="1">
      <c r="F130" s="5" t="s">
        <v>4184</v>
      </c>
      <c r="G130" s="5" t="s">
        <v>4185</v>
      </c>
    </row>
    <row r="131" spans="4:7" ht="15.95" thickBot="1">
      <c r="F131" s="5" t="s">
        <v>4186</v>
      </c>
      <c r="G131" s="5" t="s">
        <v>4187</v>
      </c>
    </row>
    <row r="132" spans="4:7" ht="15.95" thickBot="1">
      <c r="F132" s="5" t="s">
        <v>4188</v>
      </c>
      <c r="G132" s="5" t="s">
        <v>4189</v>
      </c>
    </row>
    <row r="133" spans="4:7" ht="15.95" thickBot="1">
      <c r="F133" s="5" t="s">
        <v>4190</v>
      </c>
      <c r="G133" s="5" t="s">
        <v>4191</v>
      </c>
    </row>
    <row r="134" spans="4:7" ht="15.95" thickBot="1">
      <c r="F134" s="5" t="s">
        <v>4192</v>
      </c>
      <c r="G134" s="5" t="s">
        <v>4193</v>
      </c>
    </row>
    <row r="135" spans="4:7" ht="15.95" thickBot="1">
      <c r="F135" s="5" t="s">
        <v>4194</v>
      </c>
      <c r="G135" s="5" t="s">
        <v>4195</v>
      </c>
    </row>
    <row r="136" spans="4:7" ht="15.95" thickBot="1">
      <c r="D136" s="6" t="s">
        <v>4196</v>
      </c>
      <c r="E136" s="20"/>
      <c r="F136" s="7" t="s">
        <v>2379</v>
      </c>
      <c r="G136" s="7" t="s">
        <v>537</v>
      </c>
    </row>
    <row r="137" spans="4:7" ht="15.95" thickBot="1">
      <c r="F137" s="5" t="s">
        <v>4197</v>
      </c>
      <c r="G137" s="5" t="s">
        <v>2381</v>
      </c>
    </row>
    <row r="138" spans="4:7" ht="15.95" thickBot="1">
      <c r="F138" s="5" t="s">
        <v>4198</v>
      </c>
      <c r="G138" s="5" t="s">
        <v>2381</v>
      </c>
    </row>
    <row r="139" spans="4:7" ht="15.95" thickBot="1">
      <c r="F139" s="5" t="s">
        <v>4199</v>
      </c>
      <c r="G139" s="5" t="s">
        <v>2381</v>
      </c>
    </row>
    <row r="140" spans="4:7" ht="15.95" thickBot="1">
      <c r="F140" s="5" t="s">
        <v>4200</v>
      </c>
      <c r="G140" s="5" t="s">
        <v>2381</v>
      </c>
    </row>
    <row r="141" spans="4:7" ht="15.95" thickBot="1">
      <c r="F141" s="5" t="s">
        <v>4201</v>
      </c>
      <c r="G141" s="5" t="s">
        <v>2381</v>
      </c>
    </row>
    <row r="142" spans="4:7" ht="15.95" thickBot="1">
      <c r="F142" s="5" t="s">
        <v>4202</v>
      </c>
      <c r="G142" s="5" t="s">
        <v>2381</v>
      </c>
    </row>
    <row r="143" spans="4:7" ht="15.95" thickBot="1">
      <c r="F143" s="5" t="s">
        <v>4203</v>
      </c>
      <c r="G143" s="5" t="s">
        <v>2381</v>
      </c>
    </row>
    <row r="144" spans="4:7" ht="15.95" thickBot="1">
      <c r="F144" s="5" t="s">
        <v>4204</v>
      </c>
      <c r="G144" s="5" t="s">
        <v>2381</v>
      </c>
    </row>
    <row r="145" spans="4:10" ht="15.95" thickBot="1">
      <c r="F145" s="5" t="s">
        <v>4205</v>
      </c>
      <c r="G145" s="5" t="s">
        <v>2381</v>
      </c>
    </row>
    <row r="146" spans="4:10" ht="15.95" thickBot="1">
      <c r="F146" s="5" t="s">
        <v>4206</v>
      </c>
      <c r="G146" s="19">
        <v>1</v>
      </c>
    </row>
    <row r="147" spans="4:10" ht="15.95" thickBot="1">
      <c r="F147" s="5" t="s">
        <v>4207</v>
      </c>
      <c r="G147" s="5" t="s">
        <v>2381</v>
      </c>
    </row>
    <row r="148" spans="4:10" ht="15.95" thickBot="1">
      <c r="F148" s="5" t="s">
        <v>4208</v>
      </c>
      <c r="G148" s="5" t="s">
        <v>2381</v>
      </c>
    </row>
    <row r="149" spans="4:10">
      <c r="D149" s="3" t="s">
        <v>4209</v>
      </c>
      <c r="F149" s="17" t="s">
        <v>4210</v>
      </c>
    </row>
    <row r="150" spans="4:10">
      <c r="F150" s="17" t="s">
        <v>4211</v>
      </c>
    </row>
    <row r="151" spans="4:10">
      <c r="F151" s="17" t="s">
        <v>4212</v>
      </c>
    </row>
    <row r="152" spans="4:10">
      <c r="F152" s="17" t="s">
        <v>4213</v>
      </c>
    </row>
    <row r="153" spans="4:10">
      <c r="F153" s="17" t="s">
        <v>4214</v>
      </c>
    </row>
    <row r="154" spans="4:10">
      <c r="F154" s="17" t="s">
        <v>4215</v>
      </c>
    </row>
    <row r="155" spans="4:10">
      <c r="F155" s="17" t="s">
        <v>4216</v>
      </c>
    </row>
    <row r="156" spans="4:10">
      <c r="F156" s="17" t="s">
        <v>4217</v>
      </c>
    </row>
    <row r="157" spans="4:10">
      <c r="F157" s="17" t="s">
        <v>4218</v>
      </c>
    </row>
    <row r="158" spans="4:10">
      <c r="F158" s="17" t="s">
        <v>4219</v>
      </c>
    </row>
    <row r="160" spans="4:10" ht="15.95">
      <c r="D160" s="359" t="s">
        <v>2404</v>
      </c>
      <c r="E160" s="359"/>
      <c r="F160" s="359"/>
      <c r="G160" s="359"/>
      <c r="H160" s="359"/>
      <c r="I160" s="359"/>
      <c r="J160" s="359"/>
    </row>
    <row r="161" spans="1:11">
      <c r="D161" s="97" t="s">
        <v>1992</v>
      </c>
      <c r="E161" s="97" t="s">
        <v>2405</v>
      </c>
      <c r="F161" s="97" t="s">
        <v>2406</v>
      </c>
      <c r="G161" s="97" t="s">
        <v>2407</v>
      </c>
      <c r="H161" s="97" t="s">
        <v>996</v>
      </c>
      <c r="I161" s="97" t="s">
        <v>823</v>
      </c>
      <c r="J161" s="97" t="s">
        <v>537</v>
      </c>
    </row>
    <row r="162" spans="1:11" ht="34.5">
      <c r="D162" s="100" t="s">
        <v>4220</v>
      </c>
      <c r="E162" s="98" t="s">
        <v>4221</v>
      </c>
      <c r="F162" s="98" t="s">
        <v>4222</v>
      </c>
      <c r="G162" s="98" t="s">
        <v>4223</v>
      </c>
      <c r="H162" s="98" t="s">
        <v>4224</v>
      </c>
      <c r="I162" s="98" t="s">
        <v>4225</v>
      </c>
      <c r="J162" s="101" t="s">
        <v>2414</v>
      </c>
    </row>
    <row r="163" spans="1:11" ht="23.1">
      <c r="D163" s="100" t="s">
        <v>4226</v>
      </c>
      <c r="E163" s="98" t="s">
        <v>4227</v>
      </c>
      <c r="F163" s="98" t="s">
        <v>4228</v>
      </c>
      <c r="G163" s="98" t="s">
        <v>4229</v>
      </c>
      <c r="H163" s="98" t="s">
        <v>4230</v>
      </c>
      <c r="I163" s="98" t="s">
        <v>4231</v>
      </c>
      <c r="J163" s="101" t="s">
        <v>2414</v>
      </c>
    </row>
    <row r="164" spans="1:11" ht="23.1">
      <c r="D164" s="100" t="s">
        <v>4232</v>
      </c>
      <c r="E164" s="98" t="s">
        <v>4233</v>
      </c>
      <c r="F164" s="98" t="s">
        <v>4234</v>
      </c>
      <c r="G164" s="98" t="s">
        <v>3017</v>
      </c>
      <c r="H164" s="98" t="s">
        <v>4235</v>
      </c>
      <c r="I164" s="98" t="s">
        <v>4236</v>
      </c>
      <c r="J164" s="101" t="s">
        <v>2414</v>
      </c>
    </row>
    <row r="165" spans="1:11" ht="34.5">
      <c r="D165" s="100" t="s">
        <v>4237</v>
      </c>
      <c r="E165" s="98" t="s">
        <v>4238</v>
      </c>
      <c r="F165" s="98" t="s">
        <v>4239</v>
      </c>
      <c r="G165" s="98" t="s">
        <v>4240</v>
      </c>
      <c r="H165" s="98" t="s">
        <v>3851</v>
      </c>
      <c r="I165" s="98" t="s">
        <v>4241</v>
      </c>
      <c r="J165" s="101" t="s">
        <v>2414</v>
      </c>
    </row>
    <row r="166" spans="1:11" ht="23.1">
      <c r="D166" s="100" t="s">
        <v>4242</v>
      </c>
      <c r="E166" s="98" t="s">
        <v>4243</v>
      </c>
      <c r="F166" s="98" t="s">
        <v>4244</v>
      </c>
      <c r="G166" s="98" t="s">
        <v>4245</v>
      </c>
      <c r="H166" s="98" t="s">
        <v>4246</v>
      </c>
      <c r="I166" s="98" t="s">
        <v>4247</v>
      </c>
      <c r="J166" s="101" t="s">
        <v>2414</v>
      </c>
    </row>
    <row r="167" spans="1:11" ht="34.5">
      <c r="D167" s="100" t="s">
        <v>4248</v>
      </c>
      <c r="E167" s="98" t="s">
        <v>4249</v>
      </c>
      <c r="F167" s="98" t="s">
        <v>4250</v>
      </c>
      <c r="G167" s="98" t="s">
        <v>4251</v>
      </c>
      <c r="H167" s="98" t="s">
        <v>4252</v>
      </c>
      <c r="I167" s="98" t="s">
        <v>4253</v>
      </c>
      <c r="J167" s="101" t="s">
        <v>2414</v>
      </c>
    </row>
    <row r="168" spans="1:11" ht="23.1">
      <c r="D168" s="100" t="s">
        <v>4254</v>
      </c>
      <c r="E168" s="98" t="s">
        <v>4255</v>
      </c>
      <c r="F168" s="98" t="s">
        <v>4256</v>
      </c>
      <c r="G168" s="98" t="s">
        <v>4257</v>
      </c>
      <c r="H168" s="98" t="s">
        <v>4258</v>
      </c>
      <c r="I168" s="98" t="s">
        <v>4259</v>
      </c>
      <c r="J168" s="101" t="s">
        <v>2414</v>
      </c>
    </row>
    <row r="170" spans="1:11">
      <c r="D170" s="328" t="s">
        <v>2437</v>
      </c>
      <c r="E170" s="328"/>
      <c r="F170" s="328"/>
      <c r="G170" s="328"/>
      <c r="H170" s="328"/>
      <c r="I170" s="328"/>
      <c r="J170" s="328"/>
    </row>
    <row r="171" spans="1:11">
      <c r="D171" s="48" t="s">
        <v>2438</v>
      </c>
      <c r="E171" s="48" t="s">
        <v>2405</v>
      </c>
      <c r="F171" s="48" t="s">
        <v>2406</v>
      </c>
      <c r="G171" s="48" t="s">
        <v>2407</v>
      </c>
      <c r="H171" s="48" t="s">
        <v>917</v>
      </c>
      <c r="I171" s="48" t="s">
        <v>823</v>
      </c>
      <c r="J171" s="48" t="s">
        <v>537</v>
      </c>
    </row>
    <row r="172" spans="1:11" ht="46.5">
      <c r="D172" s="48" t="s">
        <v>4260</v>
      </c>
      <c r="E172" s="48" t="s">
        <v>4261</v>
      </c>
      <c r="F172" s="48" t="s">
        <v>4262</v>
      </c>
      <c r="G172" s="48" t="s">
        <v>4263</v>
      </c>
      <c r="H172" s="48" t="s">
        <v>4264</v>
      </c>
      <c r="I172" s="48" t="s">
        <v>4265</v>
      </c>
      <c r="J172" s="48" t="s">
        <v>2445</v>
      </c>
    </row>
    <row r="174" spans="1:11">
      <c r="A174" s="355" t="s">
        <v>2446</v>
      </c>
      <c r="B174" s="358"/>
      <c r="C174" s="358"/>
      <c r="D174" s="358"/>
      <c r="E174" s="358"/>
      <c r="F174" s="358"/>
      <c r="G174" s="358"/>
      <c r="H174" s="358"/>
      <c r="I174" s="358"/>
      <c r="J174" s="358"/>
      <c r="K174" s="358"/>
    </row>
    <row r="175" spans="1:11" ht="46.5">
      <c r="A175" s="286" t="s">
        <v>2008</v>
      </c>
      <c r="B175" s="286" t="s">
        <v>2009</v>
      </c>
      <c r="C175" s="286"/>
      <c r="D175" s="286" t="s">
        <v>2010</v>
      </c>
      <c r="E175" s="286"/>
      <c r="F175" s="286" t="s">
        <v>2011</v>
      </c>
      <c r="G175" s="286"/>
      <c r="H175" s="286" t="s">
        <v>2012</v>
      </c>
      <c r="I175" s="286"/>
      <c r="J175" s="286" t="s">
        <v>2013</v>
      </c>
      <c r="K175" s="286"/>
    </row>
    <row r="176" spans="1:11" ht="294.60000000000002">
      <c r="A176" s="287" t="s">
        <v>849</v>
      </c>
      <c r="B176" s="287" t="s">
        <v>2150</v>
      </c>
      <c r="C176" s="287"/>
      <c r="D176" s="287" t="s">
        <v>2151</v>
      </c>
      <c r="E176" s="287"/>
      <c r="F176" s="287" t="s">
        <v>2152</v>
      </c>
      <c r="G176" s="287"/>
      <c r="H176" s="287" t="s">
        <v>2153</v>
      </c>
      <c r="I176" s="287"/>
      <c r="J176" s="287" t="s">
        <v>980</v>
      </c>
      <c r="K176" s="287"/>
    </row>
  </sheetData>
  <mergeCells count="3">
    <mergeCell ref="D160:J160"/>
    <mergeCell ref="D170:J170"/>
    <mergeCell ref="A174:K174"/>
  </mergeCells>
  <pageMargins left="0.7" right="0.7" top="0.75" bottom="0.75" header="0.3" footer="0.3"/>
  <pageSetup orientation="portrait" r:id="rId1"/>
  <headerFooter>
    <oddFooter>&amp;L_x000D_&amp;1#&amp;"Aptos"&amp;10&amp;K000000 Confidential-Internal</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81581-A763-4C79-8C39-F7FC938ECB05}">
  <dimension ref="A1:K187"/>
  <sheetViews>
    <sheetView zoomScale="90" zoomScaleNormal="90" workbookViewId="0">
      <selection activeCell="I11" sqref="I11:J11"/>
    </sheetView>
  </sheetViews>
  <sheetFormatPr defaultColWidth="8.7109375" defaultRowHeight="15.6"/>
  <cols>
    <col min="1" max="2" width="8.7109375" style="2"/>
    <col min="3" max="3" width="32.5703125" style="2" customWidth="1"/>
    <col min="4" max="4" width="24.5703125" style="2" customWidth="1"/>
    <col min="5" max="5" width="34.5703125" style="2" customWidth="1"/>
    <col min="6" max="6" width="36.42578125" style="2" customWidth="1"/>
    <col min="7" max="7" width="28.140625" style="2" customWidth="1"/>
    <col min="8" max="9" width="26.42578125" style="2" customWidth="1"/>
    <col min="10" max="10" width="13.5703125" style="2" customWidth="1"/>
    <col min="11" max="16384" width="8.7109375" style="2"/>
  </cols>
  <sheetData>
    <row r="1" spans="1:10">
      <c r="A1" s="1" t="s">
        <v>4266</v>
      </c>
    </row>
    <row r="2" spans="1:10">
      <c r="A2" s="1"/>
    </row>
    <row r="3" spans="1:10">
      <c r="A3" s="1" t="s">
        <v>4267</v>
      </c>
    </row>
    <row r="4" spans="1:10">
      <c r="A4" s="18"/>
    </row>
    <row r="5" spans="1:10">
      <c r="A5" s="1" t="s">
        <v>4268</v>
      </c>
    </row>
    <row r="6" spans="1:10">
      <c r="A6" s="1" t="s">
        <v>4269</v>
      </c>
    </row>
    <row r="7" spans="1:10">
      <c r="A7" s="1" t="s">
        <v>4270</v>
      </c>
    </row>
    <row r="8" spans="1:10">
      <c r="A8" s="1" t="s">
        <v>4271</v>
      </c>
    </row>
    <row r="9" spans="1:10">
      <c r="A9" s="1" t="s">
        <v>4272</v>
      </c>
    </row>
    <row r="10" spans="1:10">
      <c r="A10" s="1" t="s">
        <v>4273</v>
      </c>
    </row>
    <row r="11" spans="1:10">
      <c r="A11" s="1" t="s">
        <v>4274</v>
      </c>
    </row>
    <row r="12" spans="1:10">
      <c r="A12" s="1" t="s">
        <v>4275</v>
      </c>
    </row>
    <row r="13" spans="1:10">
      <c r="A13" s="1"/>
    </row>
    <row r="15" spans="1:10" ht="15.95" thickBot="1">
      <c r="A15" s="1"/>
    </row>
    <row r="16" spans="1:10" ht="15.95" thickBot="1">
      <c r="A16" s="6" t="s">
        <v>4276</v>
      </c>
      <c r="B16" s="6" t="s">
        <v>4277</v>
      </c>
      <c r="C16" s="6" t="s">
        <v>2192</v>
      </c>
      <c r="D16" s="6" t="s">
        <v>4278</v>
      </c>
      <c r="E16" s="6" t="s">
        <v>2194</v>
      </c>
      <c r="F16" s="7" t="s">
        <v>1626</v>
      </c>
      <c r="G16" s="7" t="s">
        <v>2195</v>
      </c>
      <c r="H16" s="7" t="s">
        <v>2196</v>
      </c>
      <c r="I16" s="7" t="s">
        <v>2299</v>
      </c>
      <c r="J16" s="7" t="s">
        <v>2198</v>
      </c>
    </row>
    <row r="17" spans="1:10" ht="15.95" thickBot="1">
      <c r="A17" s="1"/>
      <c r="C17" s="1" t="s">
        <v>4279</v>
      </c>
      <c r="E17" s="1" t="s">
        <v>4280</v>
      </c>
      <c r="F17" s="5" t="s">
        <v>4281</v>
      </c>
      <c r="G17" s="5" t="s">
        <v>4282</v>
      </c>
      <c r="H17" s="5" t="s">
        <v>4283</v>
      </c>
      <c r="I17" s="5" t="s">
        <v>4284</v>
      </c>
      <c r="J17" s="5" t="s">
        <v>4285</v>
      </c>
    </row>
    <row r="18" spans="1:10" ht="15.95" thickBot="1">
      <c r="F18" s="5" t="s">
        <v>4286</v>
      </c>
      <c r="G18" s="5" t="s">
        <v>4287</v>
      </c>
      <c r="H18" s="5" t="s">
        <v>4114</v>
      </c>
      <c r="I18" s="5" t="s">
        <v>4288</v>
      </c>
      <c r="J18" s="5" t="s">
        <v>4289</v>
      </c>
    </row>
    <row r="19" spans="1:10" ht="15.95" thickBot="1">
      <c r="F19" s="5" t="s">
        <v>4274</v>
      </c>
      <c r="G19" s="5" t="s">
        <v>4290</v>
      </c>
      <c r="H19" s="5" t="s">
        <v>4291</v>
      </c>
      <c r="I19" s="5" t="s">
        <v>4292</v>
      </c>
      <c r="J19" s="5" t="s">
        <v>4293</v>
      </c>
    </row>
    <row r="20" spans="1:10" ht="15.95" thickBot="1">
      <c r="F20" s="5" t="s">
        <v>4294</v>
      </c>
      <c r="G20" s="5" t="s">
        <v>4295</v>
      </c>
      <c r="H20" s="5" t="s">
        <v>4296</v>
      </c>
      <c r="I20" s="5" t="s">
        <v>4297</v>
      </c>
      <c r="J20" s="5" t="s">
        <v>4298</v>
      </c>
    </row>
    <row r="21" spans="1:10" ht="15.95" thickBot="1">
      <c r="F21" s="5" t="s">
        <v>4299</v>
      </c>
      <c r="G21" s="5" t="s">
        <v>4300</v>
      </c>
      <c r="H21" s="5" t="s">
        <v>4301</v>
      </c>
      <c r="I21" s="5" t="s">
        <v>4302</v>
      </c>
      <c r="J21" s="5" t="s">
        <v>4303</v>
      </c>
    </row>
    <row r="22" spans="1:10" ht="15.95" thickBot="1">
      <c r="F22" s="5" t="s">
        <v>4304</v>
      </c>
      <c r="G22" s="5" t="s">
        <v>4305</v>
      </c>
      <c r="H22" s="5" t="s">
        <v>32</v>
      </c>
      <c r="I22" s="5" t="s">
        <v>4306</v>
      </c>
      <c r="J22" s="5" t="s">
        <v>4307</v>
      </c>
    </row>
    <row r="23" spans="1:10" ht="15.95" thickBot="1">
      <c r="F23" s="5" t="s">
        <v>4308</v>
      </c>
      <c r="G23" s="5" t="s">
        <v>4309</v>
      </c>
      <c r="H23" s="5" t="s">
        <v>4310</v>
      </c>
      <c r="I23" s="5" t="s">
        <v>4311</v>
      </c>
      <c r="J23" s="5" t="s">
        <v>4312</v>
      </c>
    </row>
    <row r="24" spans="1:10" ht="15.95" thickBot="1">
      <c r="F24" s="5" t="s">
        <v>4313</v>
      </c>
      <c r="G24" s="5" t="s">
        <v>3627</v>
      </c>
      <c r="H24" s="5" t="s">
        <v>4314</v>
      </c>
      <c r="I24" s="5" t="s">
        <v>4315</v>
      </c>
      <c r="J24" s="5" t="s">
        <v>4316</v>
      </c>
    </row>
    <row r="25" spans="1:10" ht="15.95" thickBot="1">
      <c r="F25" s="5" t="s">
        <v>4317</v>
      </c>
      <c r="G25" s="5" t="s">
        <v>4318</v>
      </c>
      <c r="H25" s="5" t="s">
        <v>4319</v>
      </c>
      <c r="I25" s="5" t="s">
        <v>4320</v>
      </c>
      <c r="J25" s="5" t="s">
        <v>4321</v>
      </c>
    </row>
    <row r="26" spans="1:10" ht="15.95" thickBot="1">
      <c r="F26" s="5" t="s">
        <v>4322</v>
      </c>
      <c r="G26" s="5" t="s">
        <v>4323</v>
      </c>
      <c r="H26" s="5" t="s">
        <v>4324</v>
      </c>
      <c r="I26" s="5" t="s">
        <v>4325</v>
      </c>
      <c r="J26" s="5" t="s">
        <v>4326</v>
      </c>
    </row>
    <row r="27" spans="1:10" ht="15.95" thickBot="1">
      <c r="D27" s="6" t="s">
        <v>4327</v>
      </c>
      <c r="E27" s="20"/>
      <c r="F27" s="7" t="s">
        <v>143</v>
      </c>
      <c r="G27" s="7" t="s">
        <v>2266</v>
      </c>
    </row>
    <row r="28" spans="1:10" ht="15.95" thickBot="1">
      <c r="F28" s="5" t="s">
        <v>4328</v>
      </c>
      <c r="G28" s="5" t="s">
        <v>2159</v>
      </c>
    </row>
    <row r="29" spans="1:10" ht="15.95" thickBot="1">
      <c r="F29" s="5" t="s">
        <v>4329</v>
      </c>
      <c r="G29" s="5" t="s">
        <v>2162</v>
      </c>
    </row>
    <row r="30" spans="1:10" ht="15.95" thickBot="1">
      <c r="A30" s="1"/>
      <c r="F30" s="5" t="s">
        <v>4330</v>
      </c>
      <c r="G30" s="5" t="s">
        <v>2165</v>
      </c>
    </row>
    <row r="31" spans="1:10" ht="15.95" thickBot="1">
      <c r="F31" s="5" t="s">
        <v>4331</v>
      </c>
      <c r="G31" s="5" t="s">
        <v>1047</v>
      </c>
    </row>
    <row r="32" spans="1:10" ht="15.95" thickBot="1">
      <c r="F32" s="5" t="s">
        <v>4332</v>
      </c>
      <c r="G32" s="19">
        <v>0.5</v>
      </c>
    </row>
    <row r="33" spans="1:10" ht="15.95" thickBot="1">
      <c r="F33" s="5" t="s">
        <v>4333</v>
      </c>
      <c r="G33" s="19">
        <v>-0.4</v>
      </c>
    </row>
    <row r="34" spans="1:10" ht="15.95" thickBot="1">
      <c r="F34" s="5" t="s">
        <v>4334</v>
      </c>
      <c r="G34" s="19">
        <v>-0.9</v>
      </c>
    </row>
    <row r="35" spans="1:10" ht="15.95" thickBot="1">
      <c r="F35" s="5" t="s">
        <v>4335</v>
      </c>
      <c r="G35" s="19">
        <v>1</v>
      </c>
    </row>
    <row r="36" spans="1:10" ht="15.95" thickBot="1">
      <c r="F36" s="5" t="s">
        <v>4336</v>
      </c>
      <c r="G36" s="19">
        <v>-0.8</v>
      </c>
    </row>
    <row r="37" spans="1:10" ht="15.95" thickBot="1">
      <c r="F37" s="5" t="s">
        <v>4337</v>
      </c>
      <c r="G37" s="19">
        <v>1</v>
      </c>
    </row>
    <row r="38" spans="1:10" ht="15.95" thickBot="1">
      <c r="D38" s="6" t="s">
        <v>4338</v>
      </c>
      <c r="E38" s="20"/>
      <c r="F38" s="7" t="s">
        <v>2281</v>
      </c>
      <c r="G38" s="7" t="s">
        <v>2282</v>
      </c>
      <c r="H38" s="7" t="s">
        <v>2283</v>
      </c>
    </row>
    <row r="39" spans="1:10" ht="15.95" thickBot="1">
      <c r="A39" s="1"/>
      <c r="F39" s="5" t="s">
        <v>4339</v>
      </c>
      <c r="G39" s="5" t="s">
        <v>2479</v>
      </c>
      <c r="H39" s="5" t="s">
        <v>4340</v>
      </c>
    </row>
    <row r="40" spans="1:10" ht="15.95" thickBot="1">
      <c r="F40" s="5" t="s">
        <v>2168</v>
      </c>
      <c r="G40" s="5" t="s">
        <v>1012</v>
      </c>
      <c r="H40" s="5" t="s">
        <v>4097</v>
      </c>
    </row>
    <row r="41" spans="1:10" ht="15.95" thickBot="1">
      <c r="F41" s="5" t="s">
        <v>2170</v>
      </c>
      <c r="G41" s="5" t="s">
        <v>1012</v>
      </c>
      <c r="H41" s="5" t="s">
        <v>4341</v>
      </c>
    </row>
    <row r="42" spans="1:10" ht="15.95" thickBot="1">
      <c r="F42" s="5" t="s">
        <v>2172</v>
      </c>
      <c r="G42" s="5" t="s">
        <v>1012</v>
      </c>
      <c r="H42" s="5" t="s">
        <v>4342</v>
      </c>
    </row>
    <row r="43" spans="1:10" ht="15.95" thickBot="1">
      <c r="F43" s="5" t="s">
        <v>4343</v>
      </c>
      <c r="G43" s="5" t="s">
        <v>1012</v>
      </c>
      <c r="H43" s="5" t="s">
        <v>4344</v>
      </c>
    </row>
    <row r="44" spans="1:10" ht="15.95" thickBot="1">
      <c r="F44" s="5" t="s">
        <v>4345</v>
      </c>
      <c r="G44" s="5" t="s">
        <v>2479</v>
      </c>
      <c r="H44" s="5" t="s">
        <v>4346</v>
      </c>
    </row>
    <row r="45" spans="1:10" ht="15.95" thickBot="1">
      <c r="F45" s="5" t="s">
        <v>4347</v>
      </c>
      <c r="G45" s="5" t="s">
        <v>1012</v>
      </c>
      <c r="H45" s="5" t="s">
        <v>4348</v>
      </c>
    </row>
    <row r="46" spans="1:10" ht="15.95" thickBot="1">
      <c r="F46" s="5" t="s">
        <v>4349</v>
      </c>
      <c r="G46" s="5" t="s">
        <v>2479</v>
      </c>
      <c r="H46" s="5" t="s">
        <v>4350</v>
      </c>
    </row>
    <row r="47" spans="1:10" ht="15.95" thickBot="1">
      <c r="E47" s="6" t="s">
        <v>2194</v>
      </c>
      <c r="F47" s="7" t="s">
        <v>1626</v>
      </c>
      <c r="G47" s="7" t="s">
        <v>2195</v>
      </c>
      <c r="H47" s="7" t="s">
        <v>2196</v>
      </c>
      <c r="I47" s="7" t="s">
        <v>2299</v>
      </c>
      <c r="J47" s="7" t="s">
        <v>2198</v>
      </c>
    </row>
    <row r="48" spans="1:10" ht="15.95" thickBot="1">
      <c r="D48" s="3" t="s">
        <v>4351</v>
      </c>
      <c r="E48" s="1" t="s">
        <v>4352</v>
      </c>
      <c r="F48" s="5" t="s">
        <v>4353</v>
      </c>
      <c r="G48" s="5" t="s">
        <v>4270</v>
      </c>
      <c r="H48" s="5" t="s">
        <v>4354</v>
      </c>
      <c r="I48" s="5" t="s">
        <v>4355</v>
      </c>
      <c r="J48" s="5" t="s">
        <v>4356</v>
      </c>
    </row>
    <row r="49" spans="1:10" ht="15.95" thickBot="1">
      <c r="F49" s="5" t="s">
        <v>4357</v>
      </c>
      <c r="G49" s="5" t="s">
        <v>4358</v>
      </c>
      <c r="H49" s="5" t="s">
        <v>4359</v>
      </c>
      <c r="I49" s="5" t="s">
        <v>4360</v>
      </c>
      <c r="J49" s="5" t="s">
        <v>4361</v>
      </c>
    </row>
    <row r="50" spans="1:10" ht="15.95" thickBot="1">
      <c r="A50" s="1"/>
      <c r="F50" s="5" t="s">
        <v>4362</v>
      </c>
      <c r="G50" s="5" t="s">
        <v>4363</v>
      </c>
      <c r="H50" s="5" t="s">
        <v>4364</v>
      </c>
      <c r="I50" s="5" t="s">
        <v>4365</v>
      </c>
      <c r="J50" s="5" t="s">
        <v>4366</v>
      </c>
    </row>
    <row r="51" spans="1:10" ht="15.95" thickBot="1">
      <c r="F51" s="5" t="s">
        <v>4367</v>
      </c>
      <c r="G51" s="5" t="s">
        <v>4368</v>
      </c>
      <c r="H51" s="5" t="s">
        <v>4369</v>
      </c>
      <c r="I51" s="5" t="s">
        <v>4370</v>
      </c>
      <c r="J51" s="5" t="s">
        <v>4371</v>
      </c>
    </row>
    <row r="52" spans="1:10" ht="15.95" thickBot="1">
      <c r="A52" s="1"/>
      <c r="F52" s="5" t="s">
        <v>3327</v>
      </c>
      <c r="G52" s="5" t="s">
        <v>4372</v>
      </c>
      <c r="H52" s="5" t="s">
        <v>4373</v>
      </c>
      <c r="I52" s="5" t="s">
        <v>4374</v>
      </c>
      <c r="J52" s="5" t="s">
        <v>4375</v>
      </c>
    </row>
    <row r="53" spans="1:10" ht="15.95" thickBot="1">
      <c r="F53" s="5" t="s">
        <v>4376</v>
      </c>
      <c r="G53" s="5" t="s">
        <v>4377</v>
      </c>
      <c r="H53" s="5" t="s">
        <v>4378</v>
      </c>
      <c r="I53" s="5" t="s">
        <v>4379</v>
      </c>
      <c r="J53" s="5" t="s">
        <v>4380</v>
      </c>
    </row>
    <row r="54" spans="1:10" ht="15.95" thickBot="1">
      <c r="F54" s="5" t="s">
        <v>4381</v>
      </c>
      <c r="G54" s="5" t="s">
        <v>4382</v>
      </c>
      <c r="H54" s="5" t="s">
        <v>4383</v>
      </c>
      <c r="I54" s="5" t="s">
        <v>4384</v>
      </c>
      <c r="J54" s="5" t="s">
        <v>4385</v>
      </c>
    </row>
    <row r="55" spans="1:10" ht="15.95" thickBot="1">
      <c r="F55" s="5" t="s">
        <v>4386</v>
      </c>
      <c r="G55" s="5" t="s">
        <v>4387</v>
      </c>
      <c r="H55" s="5" t="s">
        <v>4388</v>
      </c>
      <c r="I55" s="5" t="s">
        <v>4389</v>
      </c>
      <c r="J55" s="5" t="s">
        <v>4390</v>
      </c>
    </row>
    <row r="56" spans="1:10" ht="15.95" thickBot="1">
      <c r="A56" s="1"/>
      <c r="F56" s="5" t="s">
        <v>4391</v>
      </c>
      <c r="G56" s="5" t="s">
        <v>4392</v>
      </c>
      <c r="H56" s="5" t="s">
        <v>4393</v>
      </c>
      <c r="I56" s="5" t="s">
        <v>4394</v>
      </c>
      <c r="J56" s="5" t="s">
        <v>4395</v>
      </c>
    </row>
    <row r="57" spans="1:10" ht="15.95" thickBot="1">
      <c r="F57" s="5" t="s">
        <v>4396</v>
      </c>
      <c r="G57" s="5" t="s">
        <v>4397</v>
      </c>
      <c r="H57" s="5" t="s">
        <v>4398</v>
      </c>
      <c r="I57" s="5" t="s">
        <v>4399</v>
      </c>
      <c r="J57" s="5" t="s">
        <v>4400</v>
      </c>
    </row>
    <row r="58" spans="1:10" ht="15.95" thickBot="1">
      <c r="D58" s="6" t="s">
        <v>4401</v>
      </c>
      <c r="E58" s="20"/>
      <c r="F58" s="7" t="s">
        <v>143</v>
      </c>
      <c r="G58" s="7" t="s">
        <v>2266</v>
      </c>
    </row>
    <row r="59" spans="1:10" ht="15.95" thickBot="1">
      <c r="A59" s="1"/>
      <c r="F59" s="5" t="s">
        <v>4402</v>
      </c>
      <c r="G59" s="5" t="s">
        <v>1047</v>
      </c>
    </row>
    <row r="60" spans="1:10" ht="15.95" thickBot="1">
      <c r="F60" s="5" t="s">
        <v>4403</v>
      </c>
      <c r="G60" s="5" t="s">
        <v>1052</v>
      </c>
    </row>
    <row r="61" spans="1:10" ht="15.95" thickBot="1">
      <c r="F61" s="5" t="s">
        <v>4404</v>
      </c>
      <c r="G61" s="5" t="s">
        <v>1060</v>
      </c>
    </row>
    <row r="62" spans="1:10" ht="15.95" thickBot="1">
      <c r="F62" s="5" t="s">
        <v>4405</v>
      </c>
      <c r="G62" s="5" t="s">
        <v>1060</v>
      </c>
    </row>
    <row r="63" spans="1:10" ht="15.95" thickBot="1">
      <c r="F63" s="5" t="s">
        <v>4406</v>
      </c>
      <c r="G63" s="19">
        <v>0.5</v>
      </c>
    </row>
    <row r="64" spans="1:10" ht="15.95" thickBot="1">
      <c r="F64" s="5" t="s">
        <v>4407</v>
      </c>
      <c r="G64" s="19">
        <v>1</v>
      </c>
    </row>
    <row r="65" spans="1:11" ht="15.95" thickBot="1">
      <c r="F65" s="5" t="s">
        <v>4408</v>
      </c>
      <c r="G65" s="5" t="s">
        <v>4409</v>
      </c>
    </row>
    <row r="66" spans="1:11" ht="15.95" thickBot="1">
      <c r="F66" s="5" t="s">
        <v>4410</v>
      </c>
      <c r="G66" s="5" t="s">
        <v>3925</v>
      </c>
    </row>
    <row r="67" spans="1:11" ht="15.95" thickBot="1">
      <c r="F67" s="5" t="s">
        <v>4411</v>
      </c>
      <c r="G67" s="19">
        <v>1</v>
      </c>
    </row>
    <row r="68" spans="1:11" ht="15.95" thickBot="1">
      <c r="F68" s="5" t="s">
        <v>4412</v>
      </c>
      <c r="G68" s="5" t="s">
        <v>1060</v>
      </c>
    </row>
    <row r="69" spans="1:11" ht="15.95" thickBot="1">
      <c r="E69" s="6" t="s">
        <v>2194</v>
      </c>
      <c r="F69" s="7" t="s">
        <v>1626</v>
      </c>
      <c r="G69" s="7" t="s">
        <v>2195</v>
      </c>
      <c r="H69" s="7" t="s">
        <v>2196</v>
      </c>
      <c r="I69" s="7" t="s">
        <v>2299</v>
      </c>
      <c r="J69" s="7" t="s">
        <v>2198</v>
      </c>
      <c r="K69" s="20"/>
    </row>
    <row r="70" spans="1:11" ht="15.95" thickBot="1">
      <c r="D70" s="3" t="s">
        <v>4413</v>
      </c>
      <c r="E70" s="1" t="s">
        <v>4414</v>
      </c>
      <c r="F70" s="5" t="s">
        <v>4415</v>
      </c>
      <c r="G70" s="5" t="s">
        <v>4416</v>
      </c>
      <c r="H70" s="5" t="s">
        <v>4417</v>
      </c>
      <c r="I70" s="5" t="s">
        <v>4418</v>
      </c>
      <c r="J70" s="5" t="s">
        <v>4419</v>
      </c>
    </row>
    <row r="71" spans="1:11" ht="15.95" thickBot="1">
      <c r="F71" s="5" t="s">
        <v>4420</v>
      </c>
      <c r="G71" s="5" t="s">
        <v>4421</v>
      </c>
      <c r="H71" s="5" t="s">
        <v>4422</v>
      </c>
      <c r="I71" s="5" t="s">
        <v>4423</v>
      </c>
      <c r="J71" s="5" t="s">
        <v>4424</v>
      </c>
    </row>
    <row r="72" spans="1:11" ht="15.95" thickBot="1">
      <c r="A72" s="1"/>
      <c r="F72" s="5" t="s">
        <v>4425</v>
      </c>
      <c r="G72" s="5" t="s">
        <v>4426</v>
      </c>
      <c r="H72" s="5" t="s">
        <v>4427</v>
      </c>
      <c r="I72" s="5" t="s">
        <v>4428</v>
      </c>
      <c r="J72" s="5" t="s">
        <v>4429</v>
      </c>
    </row>
    <row r="73" spans="1:11" ht="15.95" thickBot="1">
      <c r="F73" s="5" t="s">
        <v>4430</v>
      </c>
      <c r="G73" s="5" t="s">
        <v>4431</v>
      </c>
      <c r="H73" s="5" t="s">
        <v>4432</v>
      </c>
      <c r="I73" s="5" t="s">
        <v>4433</v>
      </c>
      <c r="J73" s="5" t="s">
        <v>4434</v>
      </c>
    </row>
    <row r="74" spans="1:11" ht="15.95" thickBot="1">
      <c r="A74" s="1"/>
      <c r="F74" s="5" t="s">
        <v>4435</v>
      </c>
      <c r="G74" s="5" t="s">
        <v>4436</v>
      </c>
      <c r="H74" s="5" t="s">
        <v>4437</v>
      </c>
      <c r="I74" s="5" t="s">
        <v>4438</v>
      </c>
      <c r="J74" s="5" t="s">
        <v>4439</v>
      </c>
    </row>
    <row r="75" spans="1:11" ht="15.95" thickBot="1">
      <c r="F75" s="5" t="s">
        <v>4440</v>
      </c>
      <c r="G75" s="5" t="s">
        <v>4441</v>
      </c>
      <c r="H75" s="5" t="s">
        <v>4442</v>
      </c>
      <c r="I75" s="5" t="s">
        <v>4443</v>
      </c>
      <c r="J75" s="5" t="s">
        <v>4444</v>
      </c>
    </row>
    <row r="76" spans="1:11" ht="15.95" thickBot="1">
      <c r="F76" s="5" t="s">
        <v>4445</v>
      </c>
      <c r="G76" s="5" t="s">
        <v>4446</v>
      </c>
      <c r="H76" s="5" t="s">
        <v>4447</v>
      </c>
      <c r="I76" s="5" t="s">
        <v>4448</v>
      </c>
      <c r="J76" s="5" t="s">
        <v>4449</v>
      </c>
    </row>
    <row r="77" spans="1:11" ht="15.95" thickBot="1">
      <c r="F77" s="5" t="s">
        <v>4450</v>
      </c>
      <c r="G77" s="5" t="s">
        <v>4451</v>
      </c>
      <c r="H77" s="5" t="s">
        <v>4452</v>
      </c>
      <c r="I77" s="5" t="s">
        <v>4453</v>
      </c>
      <c r="J77" s="5" t="s">
        <v>4454</v>
      </c>
    </row>
    <row r="78" spans="1:11" ht="15.95" thickBot="1">
      <c r="A78" s="1"/>
      <c r="F78" s="5" t="s">
        <v>4455</v>
      </c>
      <c r="G78" s="5" t="s">
        <v>4456</v>
      </c>
      <c r="H78" s="5" t="s">
        <v>4457</v>
      </c>
      <c r="I78" s="5" t="s">
        <v>4458</v>
      </c>
      <c r="J78" s="5" t="s">
        <v>4459</v>
      </c>
    </row>
    <row r="79" spans="1:11" ht="15.95" thickBot="1">
      <c r="F79" s="5" t="s">
        <v>4460</v>
      </c>
      <c r="G79" s="5" t="s">
        <v>4461</v>
      </c>
      <c r="H79" s="5" t="s">
        <v>4462</v>
      </c>
      <c r="I79" s="5" t="s">
        <v>4463</v>
      </c>
      <c r="J79" s="5" t="s">
        <v>4464</v>
      </c>
    </row>
    <row r="80" spans="1:11" ht="15.95" thickBot="1">
      <c r="D80" s="6" t="s">
        <v>4465</v>
      </c>
      <c r="E80" s="20"/>
      <c r="F80" s="7" t="s">
        <v>143</v>
      </c>
      <c r="G80" s="7" t="s">
        <v>2266</v>
      </c>
    </row>
    <row r="81" spans="1:10" ht="15.95" thickBot="1">
      <c r="A81" s="1"/>
      <c r="F81" s="5" t="s">
        <v>4466</v>
      </c>
      <c r="G81" s="5" t="s">
        <v>2023</v>
      </c>
    </row>
    <row r="82" spans="1:10" ht="15.95" thickBot="1">
      <c r="F82" s="5" t="s">
        <v>4467</v>
      </c>
      <c r="G82" s="19">
        <v>-0.7</v>
      </c>
    </row>
    <row r="83" spans="1:10" ht="15.95" thickBot="1">
      <c r="F83" s="5" t="s">
        <v>4468</v>
      </c>
      <c r="G83" s="19">
        <v>0.4</v>
      </c>
    </row>
    <row r="84" spans="1:10" ht="15.95" thickBot="1">
      <c r="F84" s="5" t="s">
        <v>4469</v>
      </c>
      <c r="G84" s="19">
        <v>-0.6</v>
      </c>
    </row>
    <row r="85" spans="1:10" ht="15.95" thickBot="1">
      <c r="F85" s="5" t="s">
        <v>4470</v>
      </c>
      <c r="G85" s="5" t="s">
        <v>4471</v>
      </c>
    </row>
    <row r="86" spans="1:10" ht="15.95" thickBot="1">
      <c r="F86" s="5" t="s">
        <v>4472</v>
      </c>
      <c r="G86" s="5" t="s">
        <v>2162</v>
      </c>
    </row>
    <row r="87" spans="1:10" ht="15.95" thickBot="1">
      <c r="F87" s="5" t="s">
        <v>3292</v>
      </c>
      <c r="G87" s="19">
        <v>-0.5</v>
      </c>
    </row>
    <row r="88" spans="1:10" ht="15.95" thickBot="1">
      <c r="F88" s="5" t="s">
        <v>4473</v>
      </c>
      <c r="G88" s="5" t="s">
        <v>3925</v>
      </c>
    </row>
    <row r="89" spans="1:10" ht="15.95" thickBot="1">
      <c r="F89" s="5" t="s">
        <v>4474</v>
      </c>
      <c r="G89" s="5" t="s">
        <v>1074</v>
      </c>
    </row>
    <row r="90" spans="1:10" ht="15.95" thickBot="1">
      <c r="F90" s="5" t="s">
        <v>4475</v>
      </c>
      <c r="G90" s="19">
        <v>-0.75</v>
      </c>
    </row>
    <row r="91" spans="1:10" ht="15.95" thickBot="1">
      <c r="D91" s="6" t="s">
        <v>4476</v>
      </c>
      <c r="E91" s="6" t="s">
        <v>2194</v>
      </c>
      <c r="F91" s="7" t="s">
        <v>1626</v>
      </c>
      <c r="G91" s="7" t="s">
        <v>2195</v>
      </c>
      <c r="H91" s="7" t="s">
        <v>2196</v>
      </c>
      <c r="I91" s="7" t="s">
        <v>2299</v>
      </c>
      <c r="J91" s="7" t="s">
        <v>2198</v>
      </c>
    </row>
    <row r="92" spans="1:10" ht="15.95" thickBot="1">
      <c r="E92" s="1" t="s">
        <v>4477</v>
      </c>
      <c r="F92" s="5" t="s">
        <v>4478</v>
      </c>
      <c r="G92" s="5" t="s">
        <v>4479</v>
      </c>
      <c r="H92" s="5" t="s">
        <v>4022</v>
      </c>
      <c r="I92" s="5" t="s">
        <v>4480</v>
      </c>
      <c r="J92" s="5" t="s">
        <v>4481</v>
      </c>
    </row>
    <row r="93" spans="1:10" ht="15.95" thickBot="1">
      <c r="F93" s="5" t="s">
        <v>4482</v>
      </c>
      <c r="G93" s="5" t="s">
        <v>4483</v>
      </c>
      <c r="H93" s="5" t="s">
        <v>4484</v>
      </c>
      <c r="I93" s="5" t="s">
        <v>4485</v>
      </c>
      <c r="J93" s="5" t="s">
        <v>4486</v>
      </c>
    </row>
    <row r="94" spans="1:10" ht="15.95" thickBot="1">
      <c r="A94" s="1"/>
      <c r="F94" s="5" t="s">
        <v>4487</v>
      </c>
      <c r="G94" s="5" t="s">
        <v>4488</v>
      </c>
      <c r="H94" s="5" t="s">
        <v>4489</v>
      </c>
      <c r="I94" s="5" t="s">
        <v>4490</v>
      </c>
      <c r="J94" s="5" t="s">
        <v>2835</v>
      </c>
    </row>
    <row r="95" spans="1:10" ht="15.95" thickBot="1">
      <c r="F95" s="5" t="s">
        <v>4491</v>
      </c>
      <c r="G95" s="5" t="s">
        <v>4492</v>
      </c>
      <c r="H95" s="5" t="s">
        <v>4493</v>
      </c>
      <c r="I95" s="5" t="s">
        <v>4494</v>
      </c>
      <c r="J95" s="5" t="s">
        <v>4495</v>
      </c>
    </row>
    <row r="96" spans="1:10" ht="15.95" thickBot="1">
      <c r="A96" s="1"/>
      <c r="F96" s="5" t="s">
        <v>4496</v>
      </c>
      <c r="G96" s="5" t="s">
        <v>4497</v>
      </c>
      <c r="H96" s="5" t="s">
        <v>4498</v>
      </c>
      <c r="I96" s="5" t="s">
        <v>4499</v>
      </c>
      <c r="J96" s="5" t="s">
        <v>4500</v>
      </c>
    </row>
    <row r="97" spans="1:10" ht="15.95" thickBot="1">
      <c r="F97" s="5" t="s">
        <v>4501</v>
      </c>
      <c r="G97" s="5" t="s">
        <v>4502</v>
      </c>
      <c r="H97" s="5" t="s">
        <v>4503</v>
      </c>
      <c r="I97" s="5" t="s">
        <v>4504</v>
      </c>
      <c r="J97" s="5" t="s">
        <v>4505</v>
      </c>
    </row>
    <row r="98" spans="1:10" ht="15.95" thickBot="1">
      <c r="F98" s="5" t="s">
        <v>4506</v>
      </c>
      <c r="G98" s="5" t="s">
        <v>3992</v>
      </c>
      <c r="H98" s="5" t="s">
        <v>4507</v>
      </c>
      <c r="I98" s="5" t="s">
        <v>4508</v>
      </c>
      <c r="J98" s="5" t="s">
        <v>4509</v>
      </c>
    </row>
    <row r="99" spans="1:10" ht="15.95" thickBot="1">
      <c r="F99" s="5" t="s">
        <v>4510</v>
      </c>
      <c r="G99" s="5" t="s">
        <v>4511</v>
      </c>
      <c r="H99" s="5" t="s">
        <v>4512</v>
      </c>
      <c r="I99" s="5" t="s">
        <v>4513</v>
      </c>
      <c r="J99" s="5" t="s">
        <v>4514</v>
      </c>
    </row>
    <row r="100" spans="1:10" ht="15.95" thickBot="1">
      <c r="A100" s="1"/>
      <c r="F100" s="5" t="s">
        <v>4515</v>
      </c>
      <c r="G100" s="5" t="s">
        <v>4516</v>
      </c>
      <c r="H100" s="5" t="s">
        <v>4517</v>
      </c>
      <c r="I100" s="5" t="s">
        <v>4518</v>
      </c>
      <c r="J100" s="5" t="s">
        <v>4519</v>
      </c>
    </row>
    <row r="101" spans="1:10" ht="15.95" thickBot="1">
      <c r="F101" s="5" t="s">
        <v>4520</v>
      </c>
      <c r="G101" s="5" t="s">
        <v>4521</v>
      </c>
      <c r="H101" s="5" t="s">
        <v>4522</v>
      </c>
      <c r="I101" s="5" t="s">
        <v>4523</v>
      </c>
      <c r="J101" s="5" t="s">
        <v>4524</v>
      </c>
    </row>
    <row r="102" spans="1:10" ht="15.95" thickBot="1"/>
    <row r="103" spans="1:10" ht="15.95" thickBot="1">
      <c r="E103" s="28" t="s">
        <v>4525</v>
      </c>
      <c r="F103" s="8" t="s">
        <v>4526</v>
      </c>
      <c r="G103" s="8" t="s">
        <v>4527</v>
      </c>
      <c r="H103" s="29"/>
    </row>
    <row r="104" spans="1:10" ht="15.95" thickBot="1">
      <c r="E104" s="1"/>
      <c r="F104" s="5" t="s">
        <v>4528</v>
      </c>
      <c r="G104" s="5" t="s">
        <v>4529</v>
      </c>
    </row>
    <row r="105" spans="1:10" ht="15.95" thickBot="1">
      <c r="F105" s="5" t="s">
        <v>4530</v>
      </c>
      <c r="G105" s="5" t="s">
        <v>4531</v>
      </c>
    </row>
    <row r="106" spans="1:10" ht="15.95" thickBot="1">
      <c r="F106" s="5" t="s">
        <v>4532</v>
      </c>
      <c r="G106" s="5" t="s">
        <v>4533</v>
      </c>
    </row>
    <row r="107" spans="1:10" ht="15.95" thickBot="1">
      <c r="F107" s="5" t="s">
        <v>4534</v>
      </c>
      <c r="G107" s="5" t="s">
        <v>4535</v>
      </c>
    </row>
    <row r="108" spans="1:10" ht="15.95" thickBot="1">
      <c r="F108" s="5" t="s">
        <v>4536</v>
      </c>
      <c r="G108" s="5" t="s">
        <v>4537</v>
      </c>
    </row>
    <row r="109" spans="1:10" ht="15.95" thickBot="1">
      <c r="F109" s="5" t="s">
        <v>4538</v>
      </c>
      <c r="G109" s="5" t="s">
        <v>4539</v>
      </c>
    </row>
    <row r="110" spans="1:10" ht="15.95" thickBot="1">
      <c r="F110" s="5" t="s">
        <v>4540</v>
      </c>
      <c r="G110" s="5" t="s">
        <v>4541</v>
      </c>
    </row>
    <row r="111" spans="1:10" ht="15.95" thickBot="1">
      <c r="F111" s="5" t="s">
        <v>4542</v>
      </c>
      <c r="G111" s="5" t="s">
        <v>4543</v>
      </c>
    </row>
    <row r="112" spans="1:10" ht="15.95" thickBot="1">
      <c r="F112" s="5" t="s">
        <v>4544</v>
      </c>
      <c r="G112" s="5" t="s">
        <v>4545</v>
      </c>
    </row>
    <row r="113" spans="1:8" ht="15.95" thickBot="1">
      <c r="A113" s="1"/>
      <c r="F113" s="5" t="s">
        <v>4546</v>
      </c>
      <c r="G113" s="5" t="s">
        <v>4547</v>
      </c>
    </row>
    <row r="114" spans="1:8" ht="15.95" thickBot="1">
      <c r="F114" s="5" t="s">
        <v>4548</v>
      </c>
      <c r="G114" s="5" t="s">
        <v>4549</v>
      </c>
    </row>
    <row r="115" spans="1:8" ht="15.95" thickBot="1">
      <c r="F115" s="5" t="s">
        <v>4550</v>
      </c>
      <c r="G115" s="5" t="s">
        <v>4551</v>
      </c>
    </row>
    <row r="116" spans="1:8" ht="15.95" thickBot="1">
      <c r="F116" s="5" t="s">
        <v>4552</v>
      </c>
      <c r="G116" s="5" t="s">
        <v>4553</v>
      </c>
    </row>
    <row r="117" spans="1:8" ht="15.95" thickBot="1">
      <c r="F117" s="5" t="s">
        <v>4493</v>
      </c>
      <c r="G117" s="5" t="s">
        <v>4554</v>
      </c>
    </row>
    <row r="118" spans="1:8" ht="15.95" thickBot="1">
      <c r="F118" s="5" t="s">
        <v>4555</v>
      </c>
      <c r="G118" s="5" t="s">
        <v>4556</v>
      </c>
    </row>
    <row r="119" spans="1:8" ht="15.95" thickBot="1">
      <c r="E119" s="28" t="s">
        <v>4557</v>
      </c>
      <c r="F119" s="8" t="s">
        <v>4558</v>
      </c>
      <c r="G119" s="8" t="s">
        <v>4559</v>
      </c>
      <c r="H119" s="29"/>
    </row>
    <row r="120" spans="1:8" ht="15.95" thickBot="1">
      <c r="E120" s="1" t="s">
        <v>4560</v>
      </c>
      <c r="F120" s="5" t="s">
        <v>4561</v>
      </c>
      <c r="G120" s="5" t="s">
        <v>4562</v>
      </c>
    </row>
    <row r="121" spans="1:8" ht="15.95" thickBot="1">
      <c r="F121" s="5" t="s">
        <v>4563</v>
      </c>
      <c r="G121" s="5" t="s">
        <v>4564</v>
      </c>
    </row>
    <row r="122" spans="1:8" ht="15.95" thickBot="1">
      <c r="E122" s="1"/>
      <c r="F122" s="5" t="s">
        <v>4565</v>
      </c>
      <c r="G122" s="5" t="s">
        <v>4566</v>
      </c>
    </row>
    <row r="123" spans="1:8" ht="15.95" thickBot="1">
      <c r="F123" s="5" t="s">
        <v>4567</v>
      </c>
      <c r="G123" s="5" t="s">
        <v>4568</v>
      </c>
    </row>
    <row r="124" spans="1:8" ht="15.95" thickBot="1">
      <c r="E124" s="1"/>
      <c r="F124" s="5" t="s">
        <v>4569</v>
      </c>
      <c r="G124" s="5" t="s">
        <v>4570</v>
      </c>
    </row>
    <row r="125" spans="1:8" ht="15.95" thickBot="1">
      <c r="F125" s="5" t="s">
        <v>4571</v>
      </c>
      <c r="G125" s="5" t="s">
        <v>4572</v>
      </c>
    </row>
    <row r="126" spans="1:8" ht="15.95" thickBot="1">
      <c r="E126" s="1"/>
      <c r="F126" s="5" t="s">
        <v>3161</v>
      </c>
      <c r="G126" s="5" t="s">
        <v>4573</v>
      </c>
    </row>
    <row r="127" spans="1:8" ht="15.95" thickBot="1">
      <c r="F127" s="5" t="s">
        <v>4574</v>
      </c>
      <c r="G127" s="5" t="s">
        <v>4575</v>
      </c>
    </row>
    <row r="128" spans="1:8" ht="15.95" thickBot="1">
      <c r="F128" s="5" t="s">
        <v>4576</v>
      </c>
      <c r="G128" s="5" t="s">
        <v>4577</v>
      </c>
    </row>
    <row r="129" spans="5:8" ht="15.95" thickBot="1">
      <c r="F129" s="5" t="s">
        <v>4578</v>
      </c>
      <c r="G129" s="5" t="s">
        <v>4579</v>
      </c>
    </row>
    <row r="130" spans="5:8" ht="15.95" thickBot="1">
      <c r="F130" s="5" t="s">
        <v>4580</v>
      </c>
      <c r="G130" s="5" t="s">
        <v>4581</v>
      </c>
    </row>
    <row r="131" spans="5:8" ht="15.95" thickBot="1">
      <c r="F131" s="5" t="s">
        <v>4582</v>
      </c>
      <c r="G131" s="5" t="s">
        <v>4583</v>
      </c>
    </row>
    <row r="132" spans="5:8" ht="15.95" thickBot="1">
      <c r="E132" s="6" t="s">
        <v>4584</v>
      </c>
      <c r="F132" s="7" t="s">
        <v>2943</v>
      </c>
      <c r="G132" s="7" t="s">
        <v>2944</v>
      </c>
      <c r="H132" s="7" t="s">
        <v>3321</v>
      </c>
    </row>
    <row r="133" spans="5:8" ht="15.95" thickBot="1">
      <c r="F133" s="5" t="s">
        <v>4143</v>
      </c>
      <c r="G133" s="5" t="s">
        <v>4144</v>
      </c>
      <c r="H133" s="5" t="s">
        <v>4585</v>
      </c>
    </row>
    <row r="134" spans="5:8" ht="15.95" thickBot="1">
      <c r="F134" s="5" t="s">
        <v>4161</v>
      </c>
      <c r="G134" s="5" t="s">
        <v>4586</v>
      </c>
      <c r="H134" s="5" t="s">
        <v>4587</v>
      </c>
    </row>
    <row r="135" spans="5:8" ht="15.95" thickBot="1">
      <c r="F135" s="5" t="s">
        <v>4146</v>
      </c>
      <c r="G135" s="5" t="s">
        <v>4588</v>
      </c>
      <c r="H135" s="5" t="s">
        <v>4589</v>
      </c>
    </row>
    <row r="136" spans="5:8" ht="15.95" thickBot="1">
      <c r="F136" s="5" t="s">
        <v>4590</v>
      </c>
      <c r="G136" s="5" t="s">
        <v>4591</v>
      </c>
      <c r="H136" s="5" t="s">
        <v>4592</v>
      </c>
    </row>
    <row r="137" spans="5:8" ht="15.95" thickBot="1">
      <c r="F137" s="5" t="s">
        <v>3324</v>
      </c>
      <c r="G137" s="5" t="s">
        <v>4593</v>
      </c>
      <c r="H137" s="5" t="s">
        <v>4594</v>
      </c>
    </row>
    <row r="138" spans="5:8" ht="15.95" thickBot="1">
      <c r="F138" s="5" t="s">
        <v>3776</v>
      </c>
      <c r="G138" s="5" t="s">
        <v>4595</v>
      </c>
      <c r="H138" s="5" t="s">
        <v>4596</v>
      </c>
    </row>
    <row r="139" spans="5:8" ht="15.95" thickBot="1">
      <c r="F139" s="5" t="s">
        <v>2962</v>
      </c>
      <c r="G139" s="5" t="s">
        <v>4597</v>
      </c>
      <c r="H139" s="5" t="s">
        <v>4598</v>
      </c>
    </row>
    <row r="140" spans="5:8" ht="15.95" thickBot="1">
      <c r="F140" s="5" t="s">
        <v>510</v>
      </c>
      <c r="G140" s="5" t="s">
        <v>4599</v>
      </c>
      <c r="H140" s="5" t="s">
        <v>4600</v>
      </c>
    </row>
    <row r="141" spans="5:8" ht="15.95" thickBot="1">
      <c r="E141" s="1"/>
      <c r="F141" s="5" t="s">
        <v>3340</v>
      </c>
      <c r="G141" s="5" t="s">
        <v>4601</v>
      </c>
      <c r="H141" s="5" t="s">
        <v>4602</v>
      </c>
    </row>
    <row r="142" spans="5:8" ht="15.95" thickBot="1">
      <c r="F142" s="5" t="s">
        <v>4603</v>
      </c>
      <c r="G142" s="5" t="s">
        <v>4604</v>
      </c>
      <c r="H142" s="5" t="s">
        <v>4605</v>
      </c>
    </row>
    <row r="143" spans="5:8" ht="15.95" thickBot="1">
      <c r="E143" s="1"/>
      <c r="F143" s="5" t="s">
        <v>4606</v>
      </c>
      <c r="G143" s="5" t="s">
        <v>4607</v>
      </c>
      <c r="H143" s="5" t="s">
        <v>4608</v>
      </c>
    </row>
    <row r="144" spans="5:8" ht="15.95" thickBot="1">
      <c r="F144" s="5" t="s">
        <v>4609</v>
      </c>
      <c r="G144" s="5" t="s">
        <v>4610</v>
      </c>
      <c r="H144" s="5" t="s">
        <v>4611</v>
      </c>
    </row>
    <row r="145" spans="1:7" ht="15.95" thickBot="1">
      <c r="A145" s="6" t="s">
        <v>4612</v>
      </c>
      <c r="B145" s="20"/>
      <c r="C145" s="20"/>
      <c r="D145" s="20"/>
      <c r="E145" s="20"/>
      <c r="F145" s="7" t="s">
        <v>2379</v>
      </c>
      <c r="G145" s="7" t="s">
        <v>537</v>
      </c>
    </row>
    <row r="146" spans="1:7" ht="15.95" thickBot="1">
      <c r="E146" s="1"/>
      <c r="F146" s="5" t="s">
        <v>4613</v>
      </c>
      <c r="G146" s="5" t="s">
        <v>2381</v>
      </c>
    </row>
    <row r="147" spans="1:7" ht="15.95" thickBot="1">
      <c r="F147" s="5" t="s">
        <v>4614</v>
      </c>
      <c r="G147" s="5" t="s">
        <v>2381</v>
      </c>
    </row>
    <row r="148" spans="1:7" ht="15.95" thickBot="1">
      <c r="F148" s="5" t="s">
        <v>4615</v>
      </c>
      <c r="G148" s="5" t="s">
        <v>2381</v>
      </c>
    </row>
    <row r="149" spans="1:7" ht="15.95" thickBot="1">
      <c r="F149" s="5" t="s">
        <v>4616</v>
      </c>
      <c r="G149" s="5" t="s">
        <v>2381</v>
      </c>
    </row>
    <row r="150" spans="1:7" ht="15.95" thickBot="1">
      <c r="F150" s="5" t="s">
        <v>4617</v>
      </c>
      <c r="G150" s="5" t="s">
        <v>2381</v>
      </c>
    </row>
    <row r="151" spans="1:7" ht="15.95" thickBot="1">
      <c r="F151" s="5" t="s">
        <v>4618</v>
      </c>
      <c r="G151" s="5" t="s">
        <v>2381</v>
      </c>
    </row>
    <row r="152" spans="1:7" ht="15.95" thickBot="1">
      <c r="F152" s="5" t="s">
        <v>4619</v>
      </c>
      <c r="G152" s="5" t="s">
        <v>2381</v>
      </c>
    </row>
    <row r="153" spans="1:7" ht="15.95" thickBot="1">
      <c r="F153" s="5" t="s">
        <v>4620</v>
      </c>
      <c r="G153" s="5" t="s">
        <v>2381</v>
      </c>
    </row>
    <row r="154" spans="1:7" ht="15.95" thickBot="1">
      <c r="F154" s="5" t="s">
        <v>4621</v>
      </c>
      <c r="G154" s="5" t="s">
        <v>2381</v>
      </c>
    </row>
    <row r="155" spans="1:7" ht="15.95" thickBot="1">
      <c r="F155" s="5" t="s">
        <v>4622</v>
      </c>
      <c r="G155" s="5" t="s">
        <v>2381</v>
      </c>
    </row>
    <row r="156" spans="1:7" ht="15.95" thickBot="1">
      <c r="F156" s="5" t="s">
        <v>4623</v>
      </c>
      <c r="G156" s="5" t="s">
        <v>2381</v>
      </c>
    </row>
    <row r="157" spans="1:7" ht="15.95" thickBot="1">
      <c r="F157" s="5" t="s">
        <v>4624</v>
      </c>
      <c r="G157" s="19">
        <v>1</v>
      </c>
    </row>
    <row r="158" spans="1:7" ht="15.95" thickBot="1">
      <c r="F158" s="5" t="s">
        <v>4625</v>
      </c>
      <c r="G158" s="5" t="s">
        <v>2381</v>
      </c>
    </row>
    <row r="160" spans="1:7">
      <c r="A160" s="3" t="s">
        <v>4626</v>
      </c>
      <c r="F160" s="17" t="s">
        <v>4627</v>
      </c>
    </row>
    <row r="161" spans="4:10">
      <c r="F161" s="17" t="s">
        <v>4628</v>
      </c>
    </row>
    <row r="162" spans="4:10">
      <c r="F162" s="17" t="s">
        <v>4629</v>
      </c>
    </row>
    <row r="163" spans="4:10">
      <c r="F163" s="17" t="s">
        <v>4630</v>
      </c>
    </row>
    <row r="164" spans="4:10">
      <c r="F164" s="17" t="s">
        <v>4631</v>
      </c>
    </row>
    <row r="165" spans="4:10">
      <c r="F165" s="17" t="s">
        <v>4632</v>
      </c>
    </row>
    <row r="166" spans="4:10">
      <c r="F166" s="17" t="s">
        <v>4633</v>
      </c>
    </row>
    <row r="167" spans="4:10">
      <c r="F167" s="17" t="s">
        <v>4634</v>
      </c>
    </row>
    <row r="168" spans="4:10">
      <c r="F168" s="17" t="s">
        <v>4635</v>
      </c>
    </row>
    <row r="169" spans="4:10">
      <c r="F169" s="17" t="s">
        <v>4636</v>
      </c>
    </row>
    <row r="171" spans="4:10" ht="15.95">
      <c r="D171" s="359" t="s">
        <v>2404</v>
      </c>
      <c r="E171" s="359"/>
      <c r="F171" s="359"/>
      <c r="G171" s="359"/>
      <c r="H171" s="359"/>
      <c r="I171" s="359"/>
      <c r="J171" s="359"/>
    </row>
    <row r="172" spans="4:10">
      <c r="D172" s="97" t="s">
        <v>1992</v>
      </c>
      <c r="E172" s="97" t="s">
        <v>2405</v>
      </c>
      <c r="F172" s="97" t="s">
        <v>2406</v>
      </c>
      <c r="G172" s="97" t="s">
        <v>2407</v>
      </c>
      <c r="H172" s="97" t="s">
        <v>996</v>
      </c>
      <c r="I172" s="97" t="s">
        <v>823</v>
      </c>
      <c r="J172" s="97" t="s">
        <v>537</v>
      </c>
    </row>
    <row r="173" spans="4:10" ht="34.5">
      <c r="D173" s="100" t="s">
        <v>4283</v>
      </c>
      <c r="E173" s="98" t="s">
        <v>4637</v>
      </c>
      <c r="F173" s="98" t="s">
        <v>4638</v>
      </c>
      <c r="G173" s="98" t="s">
        <v>4639</v>
      </c>
      <c r="H173" s="98" t="s">
        <v>4640</v>
      </c>
      <c r="I173" s="98" t="s">
        <v>4641</v>
      </c>
      <c r="J173" s="101" t="s">
        <v>2414</v>
      </c>
    </row>
    <row r="174" spans="4:10" ht="23.1">
      <c r="D174" s="100" t="s">
        <v>4270</v>
      </c>
      <c r="E174" s="98" t="s">
        <v>4642</v>
      </c>
      <c r="F174" s="98" t="s">
        <v>4643</v>
      </c>
      <c r="G174" s="98" t="s">
        <v>4644</v>
      </c>
      <c r="H174" s="98" t="s">
        <v>4645</v>
      </c>
      <c r="I174" s="98" t="s">
        <v>4646</v>
      </c>
      <c r="J174" s="101" t="s">
        <v>2414</v>
      </c>
    </row>
    <row r="175" spans="4:10" ht="34.5">
      <c r="D175" s="100" t="s">
        <v>4647</v>
      </c>
      <c r="E175" s="98" t="s">
        <v>4648</v>
      </c>
      <c r="F175" s="98" t="s">
        <v>4649</v>
      </c>
      <c r="G175" s="98" t="s">
        <v>4650</v>
      </c>
      <c r="H175" s="98" t="s">
        <v>4651</v>
      </c>
      <c r="I175" s="98" t="s">
        <v>4652</v>
      </c>
      <c r="J175" s="101" t="s">
        <v>2414</v>
      </c>
    </row>
    <row r="176" spans="4:10" ht="23.1">
      <c r="D176" s="100" t="s">
        <v>4653</v>
      </c>
      <c r="E176" s="98" t="s">
        <v>4654</v>
      </c>
      <c r="F176" s="98" t="s">
        <v>4655</v>
      </c>
      <c r="G176" s="98" t="s">
        <v>4656</v>
      </c>
      <c r="H176" s="98" t="s">
        <v>4657</v>
      </c>
      <c r="I176" s="98" t="s">
        <v>4658</v>
      </c>
      <c r="J176" s="101" t="s">
        <v>2414</v>
      </c>
    </row>
    <row r="177" spans="1:11" ht="34.5">
      <c r="D177" s="100" t="s">
        <v>1017</v>
      </c>
      <c r="E177" s="98" t="s">
        <v>4659</v>
      </c>
      <c r="F177" s="98" t="s">
        <v>4660</v>
      </c>
      <c r="G177" s="98" t="s">
        <v>4661</v>
      </c>
      <c r="H177" s="98" t="s">
        <v>1020</v>
      </c>
      <c r="I177" s="98" t="s">
        <v>4662</v>
      </c>
      <c r="J177" s="101" t="s">
        <v>2414</v>
      </c>
    </row>
    <row r="178" spans="1:11" ht="34.5">
      <c r="D178" s="100" t="s">
        <v>4663</v>
      </c>
      <c r="E178" s="98" t="s">
        <v>4664</v>
      </c>
      <c r="F178" s="98" t="s">
        <v>4665</v>
      </c>
      <c r="G178" s="98" t="s">
        <v>4666</v>
      </c>
      <c r="H178" s="98" t="s">
        <v>4667</v>
      </c>
      <c r="I178" s="98" t="s">
        <v>4668</v>
      </c>
      <c r="J178" s="101" t="s">
        <v>2414</v>
      </c>
    </row>
    <row r="179" spans="1:11" ht="34.5">
      <c r="D179" s="100" t="s">
        <v>4669</v>
      </c>
      <c r="E179" s="98" t="s">
        <v>4670</v>
      </c>
      <c r="F179" s="98" t="s">
        <v>4671</v>
      </c>
      <c r="G179" s="98" t="s">
        <v>4672</v>
      </c>
      <c r="H179" s="98" t="s">
        <v>4673</v>
      </c>
      <c r="I179" s="98" t="s">
        <v>4674</v>
      </c>
      <c r="J179" s="101" t="s">
        <v>2414</v>
      </c>
    </row>
    <row r="181" spans="1:11">
      <c r="D181" s="328" t="s">
        <v>2437</v>
      </c>
      <c r="E181" s="328"/>
      <c r="F181" s="328"/>
      <c r="G181" s="328"/>
      <c r="H181" s="328"/>
      <c r="I181" s="328"/>
      <c r="J181" s="328"/>
    </row>
    <row r="182" spans="1:11">
      <c r="D182" s="48" t="s">
        <v>2438</v>
      </c>
      <c r="E182" s="48" t="s">
        <v>2405</v>
      </c>
      <c r="F182" s="48" t="s">
        <v>2406</v>
      </c>
      <c r="G182" s="48" t="s">
        <v>2407</v>
      </c>
      <c r="H182" s="48" t="s">
        <v>917</v>
      </c>
      <c r="I182" s="48" t="s">
        <v>823</v>
      </c>
      <c r="J182" s="48" t="s">
        <v>537</v>
      </c>
    </row>
    <row r="183" spans="1:11" ht="62.1">
      <c r="D183" s="48" t="s">
        <v>4675</v>
      </c>
      <c r="E183" s="48" t="s">
        <v>4676</v>
      </c>
      <c r="F183" s="48" t="s">
        <v>4677</v>
      </c>
      <c r="G183" s="48" t="s">
        <v>4678</v>
      </c>
      <c r="H183" s="48" t="s">
        <v>4679</v>
      </c>
      <c r="I183" s="48" t="s">
        <v>4680</v>
      </c>
      <c r="J183" s="48" t="s">
        <v>2445</v>
      </c>
    </row>
    <row r="185" spans="1:11">
      <c r="A185" s="355" t="s">
        <v>2446</v>
      </c>
      <c r="B185" s="358"/>
      <c r="C185" s="358"/>
      <c r="D185" s="358"/>
      <c r="E185" s="358"/>
      <c r="F185" s="358"/>
      <c r="G185" s="358"/>
      <c r="H185" s="358"/>
      <c r="I185" s="358"/>
      <c r="J185" s="358"/>
      <c r="K185" s="358"/>
    </row>
    <row r="186" spans="1:11" ht="46.5">
      <c r="A186" s="286" t="s">
        <v>2008</v>
      </c>
      <c r="B186" s="286" t="s">
        <v>2009</v>
      </c>
      <c r="C186" s="286"/>
      <c r="D186" s="286" t="s">
        <v>2010</v>
      </c>
      <c r="E186" s="286"/>
      <c r="F186" s="286" t="s">
        <v>2011</v>
      </c>
      <c r="G186" s="286"/>
      <c r="H186" s="286" t="s">
        <v>2012</v>
      </c>
      <c r="I186" s="286"/>
      <c r="J186" s="286" t="s">
        <v>2013</v>
      </c>
      <c r="K186" s="286"/>
    </row>
    <row r="187" spans="1:11" ht="325.5">
      <c r="A187" s="287" t="s">
        <v>855</v>
      </c>
      <c r="B187" s="287" t="s">
        <v>2187</v>
      </c>
      <c r="C187" s="287"/>
      <c r="D187" s="287" t="s">
        <v>2188</v>
      </c>
      <c r="E187" s="287"/>
      <c r="F187" s="287" t="s">
        <v>2189</v>
      </c>
      <c r="G187" s="287"/>
      <c r="H187" s="287" t="s">
        <v>2190</v>
      </c>
      <c r="I187" s="287"/>
      <c r="J187" s="287" t="s">
        <v>986</v>
      </c>
      <c r="K187" s="287"/>
    </row>
  </sheetData>
  <mergeCells count="3">
    <mergeCell ref="D171:J171"/>
    <mergeCell ref="D181:J181"/>
    <mergeCell ref="A185:K185"/>
  </mergeCells>
  <pageMargins left="0.7" right="0.7" top="0.75" bottom="0.75" header="0.3" footer="0.3"/>
  <pageSetup orientation="portrait" r:id="rId1"/>
  <headerFooter>
    <oddFooter>&amp;L_x000D_&amp;1#&amp;"Aptos"&amp;10&amp;K000000 Confidential-Internal</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E1E4D-A3B0-4DBD-9B97-B49F52D031DB}">
  <dimension ref="A1:H283"/>
  <sheetViews>
    <sheetView topLeftCell="A38" workbookViewId="0">
      <selection activeCell="I11" sqref="I11:J11"/>
    </sheetView>
  </sheetViews>
  <sheetFormatPr defaultColWidth="25" defaultRowHeight="10.5"/>
  <cols>
    <col min="1" max="1" width="6.140625" style="30" customWidth="1"/>
    <col min="2" max="16384" width="25" style="30"/>
  </cols>
  <sheetData>
    <row r="1" spans="1:8" ht="15.95" customHeight="1">
      <c r="B1" s="31" t="s">
        <v>4681</v>
      </c>
      <c r="C1" s="31"/>
    </row>
    <row r="2" spans="1:8" s="32" customFormat="1">
      <c r="E2" s="33" t="s">
        <v>4682</v>
      </c>
    </row>
    <row r="3" spans="1:8" ht="21">
      <c r="A3" s="30">
        <v>1</v>
      </c>
      <c r="B3" s="34" t="s">
        <v>4683</v>
      </c>
      <c r="C3" s="31" t="s">
        <v>4684</v>
      </c>
    </row>
    <row r="4" spans="1:8">
      <c r="A4" s="30">
        <v>1.1000000000000001</v>
      </c>
      <c r="C4" s="34" t="s">
        <v>4685</v>
      </c>
      <c r="D4" s="35" t="s">
        <v>4686</v>
      </c>
      <c r="E4" s="35" t="s">
        <v>4687</v>
      </c>
      <c r="F4" s="35" t="s">
        <v>4688</v>
      </c>
      <c r="G4" s="36"/>
      <c r="H4" s="35" t="s">
        <v>4689</v>
      </c>
    </row>
    <row r="5" spans="1:8" ht="11.1" thickBot="1">
      <c r="C5" s="31"/>
      <c r="D5" s="31"/>
      <c r="E5" s="31"/>
      <c r="F5" s="31"/>
      <c r="H5" s="37"/>
    </row>
    <row r="6" spans="1:8" ht="32.1" thickBot="1">
      <c r="D6" s="31" t="s">
        <v>4690</v>
      </c>
      <c r="E6" s="31" t="s">
        <v>4691</v>
      </c>
      <c r="F6" s="38" t="s">
        <v>3301</v>
      </c>
      <c r="G6" s="38" t="s">
        <v>2282</v>
      </c>
      <c r="H6" s="37" t="s">
        <v>1432</v>
      </c>
    </row>
    <row r="7" spans="1:8" ht="11.1" thickBot="1">
      <c r="F7" s="39" t="s">
        <v>4692</v>
      </c>
      <c r="G7" s="39" t="s">
        <v>4693</v>
      </c>
      <c r="H7" s="37" t="s">
        <v>1427</v>
      </c>
    </row>
    <row r="8" spans="1:8" ht="11.1" thickBot="1">
      <c r="D8" s="31" t="s">
        <v>4694</v>
      </c>
      <c r="F8" s="39" t="s">
        <v>4695</v>
      </c>
      <c r="G8" s="39" t="s">
        <v>4696</v>
      </c>
      <c r="H8" s="37" t="s">
        <v>1444</v>
      </c>
    </row>
    <row r="9" spans="1:8" ht="11.1" thickBot="1">
      <c r="C9" s="31"/>
      <c r="D9" s="37"/>
      <c r="F9" s="39" t="s">
        <v>4697</v>
      </c>
      <c r="G9" s="39" t="s">
        <v>4698</v>
      </c>
      <c r="H9" s="37" t="s">
        <v>1448</v>
      </c>
    </row>
    <row r="10" spans="1:8" ht="11.1" thickBot="1">
      <c r="D10" s="37" t="s">
        <v>4699</v>
      </c>
      <c r="F10" s="39" t="s">
        <v>4700</v>
      </c>
      <c r="G10" s="39" t="s">
        <v>4701</v>
      </c>
      <c r="H10" s="37" t="s">
        <v>1440</v>
      </c>
    </row>
    <row r="11" spans="1:8" ht="11.1" thickBot="1">
      <c r="D11" s="37" t="s">
        <v>4702</v>
      </c>
      <c r="F11" s="39" t="s">
        <v>4703</v>
      </c>
      <c r="G11" s="39" t="s">
        <v>4704</v>
      </c>
    </row>
    <row r="12" spans="1:8">
      <c r="D12" s="37" t="s">
        <v>4705</v>
      </c>
    </row>
    <row r="13" spans="1:8">
      <c r="D13" s="37" t="s">
        <v>2857</v>
      </c>
    </row>
    <row r="14" spans="1:8">
      <c r="B14" s="40"/>
      <c r="C14" s="40"/>
      <c r="D14" s="40"/>
      <c r="E14" s="40"/>
      <c r="F14" s="41"/>
      <c r="G14" s="40"/>
    </row>
    <row r="15" spans="1:8">
      <c r="A15" s="30">
        <v>1.2</v>
      </c>
      <c r="C15" s="34" t="s">
        <v>4706</v>
      </c>
      <c r="D15" s="35" t="s">
        <v>4707</v>
      </c>
      <c r="E15" s="35" t="s">
        <v>4708</v>
      </c>
      <c r="F15" s="35" t="s">
        <v>4688</v>
      </c>
      <c r="G15" s="35" t="s">
        <v>4689</v>
      </c>
    </row>
    <row r="16" spans="1:8">
      <c r="C16" s="31"/>
      <c r="D16" s="31"/>
      <c r="E16" s="31"/>
      <c r="F16" s="37"/>
    </row>
    <row r="17" spans="1:7" ht="31.5">
      <c r="D17" s="31" t="s">
        <v>4709</v>
      </c>
      <c r="E17" s="31" t="s">
        <v>4710</v>
      </c>
      <c r="F17" s="37" t="s">
        <v>2796</v>
      </c>
      <c r="G17" s="37" t="s">
        <v>446</v>
      </c>
    </row>
    <row r="18" spans="1:7">
      <c r="F18" s="37" t="s">
        <v>4711</v>
      </c>
      <c r="G18" s="37" t="s">
        <v>3208</v>
      </c>
    </row>
    <row r="19" spans="1:7">
      <c r="F19" s="37" t="s">
        <v>1651</v>
      </c>
      <c r="G19" s="37" t="s">
        <v>1515</v>
      </c>
    </row>
    <row r="20" spans="1:7">
      <c r="C20" s="31"/>
      <c r="F20" s="31"/>
    </row>
    <row r="21" spans="1:7">
      <c r="B21" s="40"/>
      <c r="C21" s="40"/>
      <c r="D21" s="40"/>
      <c r="E21" s="40"/>
      <c r="F21" s="41"/>
      <c r="G21" s="40"/>
    </row>
    <row r="22" spans="1:7">
      <c r="A22" s="30">
        <v>1.3</v>
      </c>
      <c r="C22" s="34" t="s">
        <v>4712</v>
      </c>
      <c r="D22" s="35" t="s">
        <v>4707</v>
      </c>
      <c r="E22" s="35" t="s">
        <v>4708</v>
      </c>
      <c r="F22" s="35" t="s">
        <v>4688</v>
      </c>
      <c r="G22" s="35" t="s">
        <v>4713</v>
      </c>
    </row>
    <row r="23" spans="1:7">
      <c r="C23" s="31"/>
      <c r="D23" s="31"/>
      <c r="E23" s="31"/>
      <c r="F23" s="37"/>
      <c r="G23" s="37"/>
    </row>
    <row r="24" spans="1:7" ht="31.5">
      <c r="D24" s="31" t="s">
        <v>4714</v>
      </c>
      <c r="E24" s="31" t="s">
        <v>4715</v>
      </c>
      <c r="F24" s="37" t="s">
        <v>4716</v>
      </c>
      <c r="G24" s="37" t="s">
        <v>4717</v>
      </c>
    </row>
    <row r="25" spans="1:7">
      <c r="F25" s="37" t="s">
        <v>4718</v>
      </c>
    </row>
    <row r="26" spans="1:7">
      <c r="F26" s="37" t="s">
        <v>4719</v>
      </c>
    </row>
    <row r="27" spans="1:7">
      <c r="B27" s="40"/>
      <c r="C27" s="40"/>
      <c r="D27" s="40"/>
      <c r="E27" s="40"/>
      <c r="F27" s="41"/>
      <c r="G27" s="40"/>
    </row>
    <row r="28" spans="1:7">
      <c r="A28" s="30">
        <v>1.4</v>
      </c>
      <c r="C28" s="34" t="s">
        <v>4720</v>
      </c>
      <c r="D28" s="35" t="s">
        <v>4707</v>
      </c>
      <c r="E28" s="35" t="s">
        <v>4708</v>
      </c>
      <c r="F28" s="35" t="s">
        <v>4688</v>
      </c>
      <c r="G28" s="35" t="s">
        <v>4689</v>
      </c>
    </row>
    <row r="29" spans="1:7">
      <c r="C29" s="31"/>
      <c r="D29" s="31"/>
      <c r="E29" s="31"/>
      <c r="F29" s="37"/>
      <c r="G29" s="37"/>
    </row>
    <row r="30" spans="1:7" ht="31.5">
      <c r="D30" s="31" t="s">
        <v>4721</v>
      </c>
      <c r="E30" s="31" t="s">
        <v>4722</v>
      </c>
      <c r="F30" s="37" t="s">
        <v>4723</v>
      </c>
      <c r="G30" s="37" t="s">
        <v>1498</v>
      </c>
    </row>
    <row r="31" spans="1:7">
      <c r="F31" s="37" t="s">
        <v>4724</v>
      </c>
      <c r="G31" s="37" t="s">
        <v>1568</v>
      </c>
    </row>
    <row r="32" spans="1:7">
      <c r="B32" s="40"/>
      <c r="C32" s="40"/>
      <c r="D32" s="40"/>
      <c r="E32" s="40"/>
      <c r="F32" s="41"/>
      <c r="G32" s="40"/>
    </row>
    <row r="34" spans="1:7" ht="21">
      <c r="B34" s="34" t="s">
        <v>4725</v>
      </c>
      <c r="C34" s="31" t="s">
        <v>4726</v>
      </c>
    </row>
    <row r="35" spans="1:7">
      <c r="A35" s="30">
        <v>2.1</v>
      </c>
      <c r="C35" s="34" t="s">
        <v>4727</v>
      </c>
      <c r="D35" s="35" t="s">
        <v>4707</v>
      </c>
      <c r="E35" s="35" t="s">
        <v>4728</v>
      </c>
      <c r="F35" s="35" t="s">
        <v>4688</v>
      </c>
      <c r="G35" s="35" t="s">
        <v>4689</v>
      </c>
    </row>
    <row r="36" spans="1:7">
      <c r="C36" s="31"/>
      <c r="D36" s="31"/>
      <c r="E36" s="31"/>
      <c r="F36" s="37"/>
      <c r="G36" s="37"/>
    </row>
    <row r="37" spans="1:7" ht="21">
      <c r="D37" s="31" t="s">
        <v>4729</v>
      </c>
      <c r="E37" s="31" t="s">
        <v>4730</v>
      </c>
      <c r="F37" s="37" t="s">
        <v>4731</v>
      </c>
      <c r="G37" s="37" t="s">
        <v>440</v>
      </c>
    </row>
    <row r="38" spans="1:7">
      <c r="E38" s="31"/>
      <c r="F38" s="37" t="s">
        <v>4732</v>
      </c>
      <c r="G38" s="37" t="s">
        <v>1490</v>
      </c>
    </row>
    <row r="39" spans="1:7">
      <c r="E39" s="31" t="s">
        <v>4733</v>
      </c>
    </row>
    <row r="40" spans="1:7">
      <c r="C40" s="31"/>
      <c r="E40" s="31"/>
    </row>
    <row r="41" spans="1:7">
      <c r="E41" s="31" t="s">
        <v>4734</v>
      </c>
    </row>
    <row r="42" spans="1:7">
      <c r="B42" s="40"/>
      <c r="C42" s="40"/>
      <c r="D42" s="40"/>
      <c r="E42" s="40"/>
      <c r="F42" s="41"/>
      <c r="G42" s="40"/>
    </row>
    <row r="43" spans="1:7">
      <c r="A43" s="30">
        <v>2.2000000000000002</v>
      </c>
      <c r="C43" s="34" t="s">
        <v>4735</v>
      </c>
      <c r="D43" s="36"/>
      <c r="E43" s="35" t="s">
        <v>4728</v>
      </c>
      <c r="F43" s="35" t="s">
        <v>4688</v>
      </c>
      <c r="G43" s="35" t="s">
        <v>4713</v>
      </c>
    </row>
    <row r="44" spans="1:7">
      <c r="C44" s="31"/>
      <c r="E44" s="31"/>
      <c r="F44" s="37"/>
      <c r="G44" s="37"/>
    </row>
    <row r="45" spans="1:7" ht="21">
      <c r="E45" s="31" t="s">
        <v>4736</v>
      </c>
      <c r="F45" s="37" t="s">
        <v>4737</v>
      </c>
      <c r="G45" s="37" t="s">
        <v>480</v>
      </c>
    </row>
    <row r="46" spans="1:7">
      <c r="E46" s="37"/>
    </row>
    <row r="47" spans="1:7">
      <c r="E47" s="37" t="s">
        <v>4738</v>
      </c>
    </row>
    <row r="48" spans="1:7">
      <c r="E48" s="37" t="s">
        <v>4739</v>
      </c>
    </row>
    <row r="49" spans="1:7">
      <c r="E49" s="37" t="s">
        <v>4740</v>
      </c>
    </row>
    <row r="50" spans="1:7">
      <c r="E50" s="37" t="s">
        <v>4741</v>
      </c>
    </row>
    <row r="51" spans="1:7">
      <c r="B51" s="40"/>
      <c r="C51" s="40"/>
      <c r="D51" s="40"/>
      <c r="E51" s="40"/>
      <c r="F51" s="41"/>
      <c r="G51" s="40"/>
    </row>
    <row r="52" spans="1:7">
      <c r="A52" s="30">
        <v>2.2999999999999998</v>
      </c>
      <c r="C52" s="34" t="s">
        <v>4742</v>
      </c>
      <c r="D52" s="36"/>
      <c r="E52" s="35" t="s">
        <v>4728</v>
      </c>
      <c r="F52" s="36"/>
      <c r="G52" s="35" t="s">
        <v>4713</v>
      </c>
    </row>
    <row r="53" spans="1:7">
      <c r="C53" s="31"/>
      <c r="E53" s="37"/>
      <c r="G53" s="37"/>
    </row>
    <row r="54" spans="1:7">
      <c r="E54" s="37" t="s">
        <v>4743</v>
      </c>
      <c r="G54" s="37" t="s">
        <v>485</v>
      </c>
    </row>
    <row r="55" spans="1:7">
      <c r="E55" s="37" t="s">
        <v>4744</v>
      </c>
    </row>
    <row r="56" spans="1:7">
      <c r="E56" s="37" t="s">
        <v>4745</v>
      </c>
    </row>
    <row r="57" spans="1:7">
      <c r="B57" s="40"/>
      <c r="C57" s="40"/>
      <c r="D57" s="40"/>
      <c r="E57" s="40"/>
      <c r="F57" s="41"/>
      <c r="G57" s="40"/>
    </row>
    <row r="58" spans="1:7">
      <c r="A58" s="30">
        <v>2.4</v>
      </c>
      <c r="C58" s="34" t="s">
        <v>4746</v>
      </c>
      <c r="D58" s="36"/>
      <c r="E58" s="35" t="s">
        <v>4728</v>
      </c>
      <c r="F58" s="35" t="s">
        <v>4713</v>
      </c>
      <c r="G58" s="36"/>
    </row>
    <row r="59" spans="1:7">
      <c r="C59" s="31"/>
      <c r="E59" s="31"/>
      <c r="F59" s="37"/>
    </row>
    <row r="60" spans="1:7" ht="21">
      <c r="E60" s="31" t="s">
        <v>4747</v>
      </c>
      <c r="F60" s="37" t="s">
        <v>483</v>
      </c>
    </row>
    <row r="61" spans="1:7">
      <c r="E61" s="37"/>
    </row>
    <row r="62" spans="1:7">
      <c r="E62" s="37" t="s">
        <v>4748</v>
      </c>
    </row>
    <row r="63" spans="1:7">
      <c r="E63" s="37" t="s">
        <v>4749</v>
      </c>
    </row>
    <row r="64" spans="1:7">
      <c r="E64" s="37" t="s">
        <v>4750</v>
      </c>
    </row>
    <row r="65" spans="1:7">
      <c r="B65" s="40"/>
      <c r="C65" s="40"/>
      <c r="D65" s="40"/>
      <c r="E65" s="40"/>
      <c r="F65" s="41"/>
      <c r="G65" s="40"/>
    </row>
    <row r="66" spans="1:7">
      <c r="A66" s="30">
        <v>2.5</v>
      </c>
      <c r="C66" s="34" t="s">
        <v>4751</v>
      </c>
      <c r="D66" s="36"/>
      <c r="E66" s="35" t="s">
        <v>4728</v>
      </c>
      <c r="F66" s="36"/>
      <c r="G66" s="35" t="s">
        <v>4713</v>
      </c>
    </row>
    <row r="67" spans="1:7">
      <c r="C67" s="31"/>
      <c r="E67" s="31"/>
      <c r="G67" s="37"/>
    </row>
    <row r="68" spans="1:7">
      <c r="E68" s="31" t="s">
        <v>4752</v>
      </c>
      <c r="G68" s="37" t="s">
        <v>1515</v>
      </c>
    </row>
    <row r="69" spans="1:7">
      <c r="E69" s="37"/>
    </row>
    <row r="70" spans="1:7">
      <c r="E70" s="37" t="s">
        <v>4753</v>
      </c>
    </row>
    <row r="71" spans="1:7">
      <c r="E71" s="37" t="s">
        <v>4754</v>
      </c>
    </row>
    <row r="72" spans="1:7">
      <c r="E72" s="37" t="s">
        <v>4755</v>
      </c>
    </row>
    <row r="73" spans="1:7">
      <c r="E73" s="31"/>
    </row>
    <row r="74" spans="1:7" ht="21">
      <c r="E74" s="31" t="s">
        <v>4756</v>
      </c>
    </row>
    <row r="75" spans="1:7">
      <c r="B75" s="40"/>
      <c r="C75" s="40"/>
      <c r="D75" s="40"/>
      <c r="E75" s="40"/>
      <c r="F75" s="41"/>
      <c r="G75" s="40"/>
    </row>
    <row r="76" spans="1:7">
      <c r="A76" s="30">
        <v>2.6</v>
      </c>
      <c r="C76" s="34" t="s">
        <v>4757</v>
      </c>
      <c r="D76" s="35" t="s">
        <v>4707</v>
      </c>
      <c r="E76" s="35" t="s">
        <v>4728</v>
      </c>
      <c r="F76" s="35" t="s">
        <v>4688</v>
      </c>
      <c r="G76" s="36"/>
    </row>
    <row r="77" spans="1:7">
      <c r="C77" s="31"/>
      <c r="D77" s="31"/>
      <c r="E77" s="37"/>
      <c r="F77" s="37"/>
    </row>
    <row r="78" spans="1:7" ht="31.5">
      <c r="D78" s="42" t="s">
        <v>4758</v>
      </c>
      <c r="E78" s="37" t="s">
        <v>4759</v>
      </c>
      <c r="F78" s="37" t="s">
        <v>4760</v>
      </c>
    </row>
    <row r="79" spans="1:7">
      <c r="E79" s="37" t="s">
        <v>4761</v>
      </c>
    </row>
    <row r="80" spans="1:7">
      <c r="E80" s="37" t="s">
        <v>4762</v>
      </c>
    </row>
    <row r="81" spans="1:7">
      <c r="B81" s="40"/>
      <c r="C81" s="40"/>
      <c r="D81" s="40"/>
      <c r="E81" s="40"/>
      <c r="F81" s="41"/>
      <c r="G81" s="40"/>
    </row>
    <row r="82" spans="1:7" ht="21">
      <c r="B82" s="34" t="s">
        <v>4763</v>
      </c>
      <c r="C82" s="31" t="s">
        <v>4764</v>
      </c>
    </row>
    <row r="83" spans="1:7" ht="21">
      <c r="A83" s="30">
        <v>3.1</v>
      </c>
      <c r="C83" s="34" t="s">
        <v>4765</v>
      </c>
      <c r="E83" s="35" t="s">
        <v>4766</v>
      </c>
      <c r="F83" s="35" t="s">
        <v>4688</v>
      </c>
      <c r="G83" s="35" t="s">
        <v>318</v>
      </c>
    </row>
    <row r="84" spans="1:7">
      <c r="C84" s="31"/>
      <c r="E84" s="31"/>
      <c r="F84" s="31"/>
      <c r="G84" s="37"/>
    </row>
    <row r="85" spans="1:7">
      <c r="E85" s="31" t="s">
        <v>4767</v>
      </c>
      <c r="F85" s="31" t="s">
        <v>4768</v>
      </c>
      <c r="G85" s="37" t="s">
        <v>1448</v>
      </c>
    </row>
    <row r="86" spans="1:7">
      <c r="E86" s="37"/>
      <c r="F86" s="31"/>
      <c r="G86" s="37" t="s">
        <v>1427</v>
      </c>
    </row>
    <row r="87" spans="1:7">
      <c r="E87" s="37" t="s">
        <v>4769</v>
      </c>
      <c r="G87" s="37" t="s">
        <v>1440</v>
      </c>
    </row>
    <row r="88" spans="1:7">
      <c r="E88" s="37" t="s">
        <v>4770</v>
      </c>
    </row>
    <row r="89" spans="1:7">
      <c r="E89" s="37" t="s">
        <v>4771</v>
      </c>
    </row>
    <row r="90" spans="1:7">
      <c r="E90" s="37" t="s">
        <v>4772</v>
      </c>
    </row>
    <row r="91" spans="1:7">
      <c r="B91" s="40"/>
      <c r="C91" s="40"/>
      <c r="D91" s="40"/>
      <c r="E91" s="40"/>
      <c r="F91" s="41"/>
      <c r="G91" s="40"/>
    </row>
    <row r="92" spans="1:7">
      <c r="A92" s="30">
        <v>3.2</v>
      </c>
      <c r="C92" s="34" t="s">
        <v>4773</v>
      </c>
      <c r="E92" s="35" t="s">
        <v>4774</v>
      </c>
      <c r="F92" s="35" t="s">
        <v>4775</v>
      </c>
      <c r="G92" s="35" t="s">
        <v>4688</v>
      </c>
    </row>
    <row r="93" spans="1:7">
      <c r="C93" s="31"/>
      <c r="E93" s="37"/>
      <c r="F93" s="31"/>
      <c r="G93" s="31"/>
    </row>
    <row r="94" spans="1:7">
      <c r="E94" s="37" t="s">
        <v>4776</v>
      </c>
      <c r="F94" s="31" t="s">
        <v>4777</v>
      </c>
      <c r="G94" s="31" t="s">
        <v>4778</v>
      </c>
    </row>
    <row r="95" spans="1:7">
      <c r="E95" s="37" t="s">
        <v>4779</v>
      </c>
    </row>
    <row r="96" spans="1:7">
      <c r="E96" s="37" t="s">
        <v>3211</v>
      </c>
    </row>
    <row r="97" spans="1:7">
      <c r="E97" s="37" t="s">
        <v>4780</v>
      </c>
    </row>
    <row r="100" spans="1:7">
      <c r="C100" s="31"/>
    </row>
    <row r="102" spans="1:7">
      <c r="B102" s="40"/>
      <c r="C102" s="40"/>
      <c r="D102" s="40"/>
      <c r="E102" s="40"/>
      <c r="F102" s="41"/>
      <c r="G102" s="40"/>
    </row>
    <row r="103" spans="1:7">
      <c r="A103" s="30">
        <v>3.3</v>
      </c>
      <c r="C103" s="34" t="s">
        <v>4781</v>
      </c>
      <c r="D103" s="31" t="s">
        <v>4782</v>
      </c>
      <c r="E103" s="31" t="s">
        <v>4688</v>
      </c>
    </row>
    <row r="104" spans="1:7">
      <c r="C104" s="31"/>
      <c r="D104" s="37"/>
      <c r="E104" s="31"/>
    </row>
    <row r="105" spans="1:7">
      <c r="D105" s="37" t="s">
        <v>4783</v>
      </c>
      <c r="E105" s="31" t="s">
        <v>4784</v>
      </c>
    </row>
    <row r="106" spans="1:7">
      <c r="D106" s="37" t="s">
        <v>4785</v>
      </c>
      <c r="E106" s="31"/>
    </row>
    <row r="107" spans="1:7" ht="52.5">
      <c r="D107" s="37" t="s">
        <v>4786</v>
      </c>
      <c r="E107" s="42" t="s">
        <v>4787</v>
      </c>
    </row>
    <row r="109" spans="1:7">
      <c r="D109" s="31" t="s">
        <v>4788</v>
      </c>
    </row>
    <row r="110" spans="1:7">
      <c r="C110" s="31"/>
      <c r="D110" s="37"/>
    </row>
    <row r="111" spans="1:7">
      <c r="D111" s="37" t="s">
        <v>4789</v>
      </c>
    </row>
    <row r="112" spans="1:7">
      <c r="D112" s="37" t="s">
        <v>4790</v>
      </c>
    </row>
    <row r="113" spans="1:7">
      <c r="D113" s="37" t="s">
        <v>4791</v>
      </c>
    </row>
    <row r="114" spans="1:7">
      <c r="B114" s="40"/>
      <c r="C114" s="40"/>
      <c r="D114" s="40"/>
      <c r="E114" s="40"/>
      <c r="F114" s="41"/>
      <c r="G114" s="40"/>
    </row>
    <row r="115" spans="1:7">
      <c r="A115" s="30">
        <v>3.4</v>
      </c>
      <c r="C115" s="34" t="s">
        <v>4792</v>
      </c>
      <c r="D115" s="35" t="s">
        <v>4793</v>
      </c>
      <c r="E115" s="35" t="s">
        <v>4775</v>
      </c>
      <c r="F115" s="35" t="s">
        <v>4688</v>
      </c>
    </row>
    <row r="116" spans="1:7">
      <c r="C116" s="31"/>
      <c r="D116" s="37"/>
      <c r="E116" s="31"/>
      <c r="F116" s="31"/>
    </row>
    <row r="117" spans="1:7" ht="21">
      <c r="C117" s="31" t="s">
        <v>4794</v>
      </c>
      <c r="D117" s="37" t="s">
        <v>4795</v>
      </c>
      <c r="E117" s="31" t="s">
        <v>4796</v>
      </c>
      <c r="F117" s="31" t="s">
        <v>4797</v>
      </c>
    </row>
    <row r="118" spans="1:7">
      <c r="C118" s="31"/>
      <c r="D118" s="37" t="s">
        <v>4798</v>
      </c>
    </row>
    <row r="119" spans="1:7">
      <c r="D119" s="37" t="s">
        <v>4799</v>
      </c>
    </row>
    <row r="120" spans="1:7">
      <c r="D120" s="37" t="s">
        <v>3633</v>
      </c>
    </row>
    <row r="121" spans="1:7">
      <c r="D121" s="31"/>
    </row>
    <row r="125" spans="1:7">
      <c r="B125" s="40"/>
      <c r="C125" s="40"/>
      <c r="D125" s="40"/>
      <c r="E125" s="40"/>
      <c r="F125" s="41"/>
      <c r="G125" s="40"/>
    </row>
    <row r="126" spans="1:7">
      <c r="A126" s="30">
        <v>3.5</v>
      </c>
      <c r="C126" s="34" t="s">
        <v>4800</v>
      </c>
      <c r="D126" s="35" t="s">
        <v>4801</v>
      </c>
      <c r="E126" s="35" t="s">
        <v>4688</v>
      </c>
      <c r="F126" s="36"/>
    </row>
    <row r="127" spans="1:7">
      <c r="C127" s="31"/>
      <c r="D127" s="37"/>
      <c r="E127" s="31"/>
    </row>
    <row r="128" spans="1:7">
      <c r="D128" s="37" t="s">
        <v>4802</v>
      </c>
      <c r="E128" s="31" t="s">
        <v>4803</v>
      </c>
    </row>
    <row r="129" spans="1:7">
      <c r="D129" s="37" t="s">
        <v>4804</v>
      </c>
    </row>
    <row r="130" spans="1:7">
      <c r="D130" s="37" t="s">
        <v>4805</v>
      </c>
    </row>
    <row r="131" spans="1:7">
      <c r="B131" s="40"/>
      <c r="C131" s="40"/>
      <c r="D131" s="40"/>
      <c r="E131" s="40"/>
      <c r="F131" s="41"/>
      <c r="G131" s="40"/>
    </row>
    <row r="132" spans="1:7">
      <c r="A132" s="30">
        <v>3.6</v>
      </c>
      <c r="C132" s="34" t="s">
        <v>4806</v>
      </c>
      <c r="D132" s="35" t="s">
        <v>4807</v>
      </c>
      <c r="E132" s="35" t="s">
        <v>4688</v>
      </c>
      <c r="F132" s="35" t="s">
        <v>318</v>
      </c>
    </row>
    <row r="133" spans="1:7">
      <c r="C133" s="31"/>
      <c r="D133" s="37"/>
      <c r="E133" s="31"/>
      <c r="F133" s="37"/>
    </row>
    <row r="134" spans="1:7">
      <c r="D134" s="37" t="s">
        <v>4808</v>
      </c>
      <c r="E134" s="31" t="s">
        <v>4809</v>
      </c>
      <c r="F134" s="37" t="s">
        <v>1514</v>
      </c>
    </row>
    <row r="135" spans="1:7">
      <c r="D135" s="37" t="s">
        <v>4810</v>
      </c>
      <c r="E135" s="31"/>
      <c r="F135" s="37" t="s">
        <v>3208</v>
      </c>
    </row>
    <row r="136" spans="1:7">
      <c r="D136" s="37" t="s">
        <v>4811</v>
      </c>
    </row>
    <row r="137" spans="1:7">
      <c r="D137" s="37" t="s">
        <v>4812</v>
      </c>
    </row>
    <row r="138" spans="1:7">
      <c r="B138" s="40"/>
      <c r="C138" s="40"/>
      <c r="D138" s="40"/>
      <c r="E138" s="40"/>
      <c r="F138" s="41"/>
      <c r="G138" s="40"/>
    </row>
    <row r="139" spans="1:7" ht="21">
      <c r="B139" s="34" t="s">
        <v>4813</v>
      </c>
      <c r="C139" s="31" t="s">
        <v>4814</v>
      </c>
    </row>
    <row r="140" spans="1:7" ht="21">
      <c r="C140" s="31" t="s">
        <v>4815</v>
      </c>
    </row>
    <row r="143" spans="1:7" ht="21">
      <c r="A143" s="30">
        <v>4.0999999999999996</v>
      </c>
      <c r="B143" s="37" t="s">
        <v>4816</v>
      </c>
      <c r="C143" s="31" t="s">
        <v>4817</v>
      </c>
    </row>
    <row r="144" spans="1:7">
      <c r="B144" s="40"/>
      <c r="C144" s="40"/>
      <c r="D144" s="40"/>
      <c r="E144" s="40"/>
      <c r="F144" s="41"/>
      <c r="G144" s="40"/>
    </row>
    <row r="145" spans="1:7" ht="21">
      <c r="A145" s="30">
        <v>4.2</v>
      </c>
      <c r="B145" s="37" t="s">
        <v>3074</v>
      </c>
      <c r="C145" s="34" t="s">
        <v>4818</v>
      </c>
      <c r="D145" s="35" t="s">
        <v>4819</v>
      </c>
      <c r="E145" s="35" t="s">
        <v>4820</v>
      </c>
      <c r="F145" s="35" t="s">
        <v>4821</v>
      </c>
      <c r="G145" s="35" t="s">
        <v>318</v>
      </c>
    </row>
    <row r="146" spans="1:7">
      <c r="C146" s="31"/>
      <c r="D146" s="37"/>
      <c r="E146" s="37"/>
      <c r="F146" s="31"/>
      <c r="G146" s="37"/>
    </row>
    <row r="147" spans="1:7">
      <c r="D147" s="37" t="s">
        <v>4822</v>
      </c>
      <c r="E147" s="37" t="s">
        <v>4823</v>
      </c>
      <c r="F147" s="31" t="s">
        <v>4824</v>
      </c>
      <c r="G147" s="37" t="s">
        <v>1427</v>
      </c>
    </row>
    <row r="148" spans="1:7">
      <c r="D148" s="37" t="s">
        <v>4825</v>
      </c>
      <c r="E148" s="37" t="s">
        <v>4826</v>
      </c>
      <c r="G148" s="37" t="s">
        <v>1448</v>
      </c>
    </row>
    <row r="149" spans="1:7">
      <c r="D149" s="37" t="s">
        <v>4827</v>
      </c>
      <c r="E149" s="37" t="s">
        <v>261</v>
      </c>
      <c r="G149" s="37" t="s">
        <v>1432</v>
      </c>
    </row>
    <row r="150" spans="1:7">
      <c r="D150" s="37" t="s">
        <v>4828</v>
      </c>
      <c r="E150" s="37" t="s">
        <v>4829</v>
      </c>
      <c r="G150" s="37" t="s">
        <v>1444</v>
      </c>
    </row>
    <row r="151" spans="1:7">
      <c r="D151" s="37" t="s">
        <v>4830</v>
      </c>
      <c r="E151" s="37" t="s">
        <v>4831</v>
      </c>
    </row>
    <row r="152" spans="1:7">
      <c r="B152" s="40"/>
      <c r="C152" s="40"/>
      <c r="D152" s="40"/>
      <c r="E152" s="40"/>
      <c r="F152" s="41"/>
      <c r="G152" s="40"/>
    </row>
    <row r="153" spans="1:7">
      <c r="A153" s="30">
        <v>4.3</v>
      </c>
      <c r="B153" s="30" t="s">
        <v>4832</v>
      </c>
      <c r="C153" s="34" t="s">
        <v>4833</v>
      </c>
      <c r="D153" s="35" t="s">
        <v>4834</v>
      </c>
      <c r="E153" s="35" t="s">
        <v>4688</v>
      </c>
    </row>
    <row r="154" spans="1:7" ht="11.1" thickBot="1">
      <c r="C154" s="31"/>
      <c r="D154" s="37"/>
      <c r="E154" s="31"/>
    </row>
    <row r="155" spans="1:7" ht="11.1" thickBot="1">
      <c r="D155" s="37" t="s">
        <v>4835</v>
      </c>
      <c r="E155" s="38" t="s">
        <v>4836</v>
      </c>
      <c r="F155" s="38" t="s">
        <v>3301</v>
      </c>
    </row>
    <row r="156" spans="1:7" ht="11.1" thickBot="1">
      <c r="D156" s="37" t="s">
        <v>4837</v>
      </c>
      <c r="E156" s="39" t="s">
        <v>1427</v>
      </c>
      <c r="F156" s="39" t="s">
        <v>4838</v>
      </c>
    </row>
    <row r="157" spans="1:7" ht="11.1" thickBot="1">
      <c r="D157" s="37" t="s">
        <v>4839</v>
      </c>
      <c r="E157" s="39" t="s">
        <v>3208</v>
      </c>
      <c r="F157" s="39" t="s">
        <v>4840</v>
      </c>
    </row>
    <row r="158" spans="1:7" ht="11.1" thickBot="1">
      <c r="D158" s="37" t="s">
        <v>4841</v>
      </c>
      <c r="E158" s="39" t="s">
        <v>1432</v>
      </c>
      <c r="F158" s="39" t="s">
        <v>4842</v>
      </c>
    </row>
    <row r="159" spans="1:7" ht="11.1" thickBot="1">
      <c r="D159" s="37" t="s">
        <v>4843</v>
      </c>
      <c r="E159" s="39" t="s">
        <v>4844</v>
      </c>
      <c r="F159" s="39" t="s">
        <v>4845</v>
      </c>
    </row>
    <row r="160" spans="1:7">
      <c r="B160" s="40"/>
      <c r="C160" s="40"/>
      <c r="D160" s="40"/>
      <c r="E160" s="40"/>
      <c r="F160" s="41"/>
      <c r="G160" s="40"/>
    </row>
    <row r="161" spans="1:7">
      <c r="A161" s="30">
        <v>4.4000000000000004</v>
      </c>
      <c r="C161" s="34" t="s">
        <v>4846</v>
      </c>
      <c r="D161" s="35" t="s">
        <v>4820</v>
      </c>
      <c r="E161" s="35" t="s">
        <v>4688</v>
      </c>
    </row>
    <row r="162" spans="1:7">
      <c r="C162" s="31"/>
      <c r="D162" s="37"/>
      <c r="E162" s="37"/>
    </row>
    <row r="163" spans="1:7">
      <c r="D163" s="37" t="s">
        <v>4847</v>
      </c>
      <c r="E163" s="37" t="s">
        <v>4848</v>
      </c>
    </row>
    <row r="164" spans="1:7">
      <c r="D164" s="37" t="s">
        <v>4849</v>
      </c>
      <c r="E164" s="37" t="s">
        <v>4850</v>
      </c>
    </row>
    <row r="165" spans="1:7">
      <c r="D165" s="37" t="s">
        <v>4851</v>
      </c>
    </row>
    <row r="166" spans="1:7">
      <c r="D166" s="37" t="s">
        <v>4852</v>
      </c>
    </row>
    <row r="167" spans="1:7">
      <c r="B167" s="40"/>
      <c r="C167" s="40"/>
      <c r="D167" s="40"/>
      <c r="E167" s="40"/>
      <c r="F167" s="41"/>
      <c r="G167" s="40"/>
    </row>
    <row r="168" spans="1:7">
      <c r="A168" s="30">
        <v>4.5</v>
      </c>
      <c r="C168" s="34" t="s">
        <v>4853</v>
      </c>
      <c r="D168" s="35" t="s">
        <v>4820</v>
      </c>
      <c r="E168" s="35" t="s">
        <v>4688</v>
      </c>
    </row>
    <row r="169" spans="1:7">
      <c r="C169" s="31"/>
      <c r="D169" s="37"/>
      <c r="E169" s="37"/>
    </row>
    <row r="170" spans="1:7">
      <c r="D170" s="37" t="s">
        <v>4854</v>
      </c>
      <c r="E170" s="37" t="s">
        <v>4855</v>
      </c>
    </row>
    <row r="171" spans="1:7">
      <c r="D171" s="37" t="s">
        <v>4856</v>
      </c>
      <c r="E171" s="37" t="s">
        <v>3955</v>
      </c>
    </row>
    <row r="172" spans="1:7">
      <c r="D172" s="37" t="s">
        <v>4857</v>
      </c>
    </row>
    <row r="173" spans="1:7">
      <c r="D173" s="37" t="s">
        <v>4858</v>
      </c>
    </row>
    <row r="174" spans="1:7">
      <c r="B174" s="40"/>
      <c r="C174" s="40"/>
      <c r="D174" s="40"/>
      <c r="E174" s="40"/>
      <c r="F174" s="41"/>
      <c r="G174" s="40"/>
    </row>
    <row r="175" spans="1:7" ht="21">
      <c r="A175" s="30">
        <v>4.5</v>
      </c>
      <c r="C175" s="34" t="s">
        <v>4859</v>
      </c>
      <c r="D175" s="31" t="s">
        <v>4860</v>
      </c>
      <c r="E175" s="31" t="s">
        <v>318</v>
      </c>
    </row>
    <row r="176" spans="1:7">
      <c r="C176" s="31"/>
      <c r="D176" s="37"/>
      <c r="E176" s="37"/>
    </row>
    <row r="177" spans="1:7">
      <c r="D177" s="37" t="s">
        <v>4754</v>
      </c>
      <c r="E177" s="37" t="s">
        <v>1515</v>
      </c>
    </row>
    <row r="178" spans="1:7">
      <c r="D178" s="37" t="s">
        <v>4861</v>
      </c>
    </row>
    <row r="179" spans="1:7">
      <c r="D179" s="37" t="s">
        <v>4862</v>
      </c>
    </row>
    <row r="180" spans="1:7">
      <c r="D180" s="31"/>
    </row>
    <row r="181" spans="1:7" ht="21">
      <c r="C181" s="31"/>
      <c r="D181" s="31" t="s">
        <v>4863</v>
      </c>
    </row>
    <row r="182" spans="1:7">
      <c r="B182" s="40"/>
      <c r="C182" s="40"/>
      <c r="D182" s="40"/>
      <c r="E182" s="40"/>
      <c r="F182" s="41"/>
      <c r="G182" s="40"/>
    </row>
    <row r="183" spans="1:7">
      <c r="A183" s="30">
        <v>4.5999999999999996</v>
      </c>
      <c r="C183" s="34" t="s">
        <v>4864</v>
      </c>
      <c r="D183" s="35" t="s">
        <v>4865</v>
      </c>
      <c r="E183" s="35" t="s">
        <v>4866</v>
      </c>
      <c r="F183" s="35" t="s">
        <v>4688</v>
      </c>
    </row>
    <row r="184" spans="1:7">
      <c r="C184" s="31"/>
      <c r="D184" s="31"/>
      <c r="E184" s="31"/>
      <c r="F184" s="37"/>
    </row>
    <row r="185" spans="1:7">
      <c r="D185" s="31" t="s">
        <v>4867</v>
      </c>
      <c r="E185" s="31" t="s">
        <v>4868</v>
      </c>
      <c r="F185" s="37" t="s">
        <v>4869</v>
      </c>
    </row>
    <row r="186" spans="1:7">
      <c r="E186" s="37"/>
      <c r="F186" s="37" t="s">
        <v>4870</v>
      </c>
    </row>
    <row r="187" spans="1:7">
      <c r="E187" s="37" t="s">
        <v>4871</v>
      </c>
    </row>
    <row r="188" spans="1:7">
      <c r="C188" s="31"/>
      <c r="E188" s="37" t="s">
        <v>4872</v>
      </c>
    </row>
    <row r="189" spans="1:7">
      <c r="E189" s="37" t="s">
        <v>4873</v>
      </c>
    </row>
    <row r="190" spans="1:7">
      <c r="E190" s="37" t="s">
        <v>4874</v>
      </c>
    </row>
    <row r="191" spans="1:7">
      <c r="E191" s="31"/>
    </row>
    <row r="192" spans="1:7">
      <c r="E192" s="31" t="s">
        <v>4875</v>
      </c>
    </row>
    <row r="193" spans="1:7">
      <c r="B193" s="40"/>
      <c r="C193" s="40"/>
      <c r="D193" s="40"/>
      <c r="E193" s="40"/>
      <c r="F193" s="41"/>
      <c r="G193" s="40"/>
    </row>
    <row r="194" spans="1:7">
      <c r="A194" s="30">
        <v>4.7</v>
      </c>
      <c r="C194" s="34" t="s">
        <v>3486</v>
      </c>
      <c r="D194" s="35" t="s">
        <v>4876</v>
      </c>
      <c r="E194" s="35" t="s">
        <v>4688</v>
      </c>
    </row>
    <row r="195" spans="1:7">
      <c r="C195" s="31"/>
      <c r="D195" s="37"/>
      <c r="E195" s="37"/>
    </row>
    <row r="196" spans="1:7">
      <c r="D196" s="37" t="s">
        <v>4877</v>
      </c>
      <c r="E196" s="37" t="s">
        <v>4878</v>
      </c>
    </row>
    <row r="197" spans="1:7" ht="42">
      <c r="C197" s="42" t="s">
        <v>4879</v>
      </c>
      <c r="D197" s="37" t="s">
        <v>4880</v>
      </c>
    </row>
    <row r="198" spans="1:7">
      <c r="D198" s="37" t="s">
        <v>4881</v>
      </c>
    </row>
    <row r="199" spans="1:7">
      <c r="D199" s="37" t="s">
        <v>4882</v>
      </c>
    </row>
    <row r="200" spans="1:7">
      <c r="B200" s="40"/>
      <c r="C200" s="40"/>
      <c r="D200" s="40"/>
      <c r="E200" s="40"/>
      <c r="F200" s="41"/>
      <c r="G200" s="40"/>
    </row>
    <row r="201" spans="1:7" ht="21">
      <c r="A201" s="30">
        <v>4.8</v>
      </c>
      <c r="B201" s="34" t="s">
        <v>4883</v>
      </c>
      <c r="C201" s="34" t="s">
        <v>4220</v>
      </c>
      <c r="D201" s="31" t="s">
        <v>4884</v>
      </c>
    </row>
    <row r="202" spans="1:7">
      <c r="C202" s="31"/>
      <c r="D202" s="37"/>
    </row>
    <row r="203" spans="1:7">
      <c r="D203" s="37" t="s">
        <v>4885</v>
      </c>
    </row>
    <row r="204" spans="1:7">
      <c r="D204" s="37" t="s">
        <v>4886</v>
      </c>
    </row>
    <row r="205" spans="1:7">
      <c r="D205" s="37" t="s">
        <v>4887</v>
      </c>
    </row>
    <row r="206" spans="1:7">
      <c r="D206" s="37" t="s">
        <v>4888</v>
      </c>
    </row>
    <row r="207" spans="1:7">
      <c r="B207" s="40"/>
      <c r="C207" s="40"/>
      <c r="D207" s="40"/>
      <c r="E207" s="40"/>
      <c r="F207" s="41"/>
      <c r="G207" s="40"/>
    </row>
    <row r="208" spans="1:7">
      <c r="A208" s="30">
        <v>4.9000000000000004</v>
      </c>
      <c r="C208" s="34" t="s">
        <v>4226</v>
      </c>
      <c r="D208" s="35" t="s">
        <v>4884</v>
      </c>
      <c r="E208" s="35" t="s">
        <v>4889</v>
      </c>
    </row>
    <row r="209" spans="1:7">
      <c r="C209" s="31"/>
      <c r="D209" s="37"/>
      <c r="E209" s="37"/>
    </row>
    <row r="210" spans="1:7">
      <c r="D210" s="37" t="s">
        <v>4890</v>
      </c>
      <c r="E210" s="37" t="s">
        <v>4891</v>
      </c>
    </row>
    <row r="211" spans="1:7">
      <c r="C211" s="31"/>
      <c r="D211" s="37" t="s">
        <v>4892</v>
      </c>
      <c r="E211" s="37" t="s">
        <v>1490</v>
      </c>
    </row>
    <row r="212" spans="1:7">
      <c r="D212" s="37" t="s">
        <v>4893</v>
      </c>
    </row>
    <row r="213" spans="1:7">
      <c r="C213" s="31"/>
      <c r="D213" s="37" t="s">
        <v>4894</v>
      </c>
    </row>
    <row r="214" spans="1:7" ht="11.1" thickBot="1">
      <c r="B214" s="40"/>
      <c r="C214" s="40"/>
      <c r="D214" s="40"/>
      <c r="E214" s="40"/>
      <c r="F214" s="41"/>
      <c r="G214" s="40"/>
    </row>
    <row r="215" spans="1:7" ht="35.1" thickBot="1">
      <c r="A215" s="93">
        <v>4.0999999999999996</v>
      </c>
      <c r="C215" s="93" t="s">
        <v>4895</v>
      </c>
      <c r="D215" s="93" t="s">
        <v>4896</v>
      </c>
      <c r="E215" s="93" t="s">
        <v>4897</v>
      </c>
      <c r="F215" s="94" t="s">
        <v>4898</v>
      </c>
    </row>
    <row r="216" spans="1:7" ht="42.6" thickBot="1">
      <c r="A216" s="93">
        <v>4.1100000000000003</v>
      </c>
      <c r="C216" s="93" t="s">
        <v>3475</v>
      </c>
      <c r="D216" s="93" t="s">
        <v>4899</v>
      </c>
      <c r="E216" s="93" t="s">
        <v>4900</v>
      </c>
      <c r="F216" s="94" t="s">
        <v>4901</v>
      </c>
    </row>
    <row r="217" spans="1:7" ht="32.1" thickBot="1">
      <c r="A217" s="93">
        <v>4.12</v>
      </c>
      <c r="C217" s="93" t="s">
        <v>3238</v>
      </c>
      <c r="D217" s="93" t="s">
        <v>4902</v>
      </c>
      <c r="E217" s="93" t="s">
        <v>4903</v>
      </c>
      <c r="F217" s="94" t="s">
        <v>4904</v>
      </c>
    </row>
    <row r="218" spans="1:7" ht="32.1" thickBot="1">
      <c r="A218" s="93">
        <v>4.13</v>
      </c>
      <c r="C218" s="93" t="s">
        <v>4905</v>
      </c>
      <c r="D218" s="93" t="s">
        <v>4906</v>
      </c>
      <c r="E218" s="93" t="s">
        <v>4907</v>
      </c>
      <c r="F218" s="94" t="s">
        <v>4908</v>
      </c>
    </row>
    <row r="219" spans="1:7" ht="32.1" thickBot="1">
      <c r="A219" s="93">
        <v>4.1399999999999997</v>
      </c>
      <c r="C219" s="93" t="s">
        <v>4781</v>
      </c>
      <c r="D219" s="93" t="s">
        <v>4909</v>
      </c>
      <c r="E219" s="93" t="s">
        <v>4910</v>
      </c>
      <c r="F219" s="94" t="s">
        <v>4911</v>
      </c>
    </row>
    <row r="220" spans="1:7" ht="35.1" thickBot="1">
      <c r="A220" s="93">
        <v>4.1500000000000004</v>
      </c>
      <c r="C220" s="93" t="s">
        <v>4912</v>
      </c>
      <c r="D220" s="93" t="s">
        <v>4913</v>
      </c>
      <c r="E220" s="93" t="s">
        <v>4914</v>
      </c>
      <c r="F220" s="94" t="s">
        <v>4915</v>
      </c>
    </row>
    <row r="221" spans="1:7" ht="42.6" thickBot="1">
      <c r="A221" s="93">
        <v>4.16</v>
      </c>
      <c r="C221" s="93" t="s">
        <v>4916</v>
      </c>
      <c r="D221" s="93" t="s">
        <v>4917</v>
      </c>
      <c r="E221" s="93" t="s">
        <v>4918</v>
      </c>
      <c r="F221" s="94" t="s">
        <v>4919</v>
      </c>
    </row>
    <row r="222" spans="1:7" ht="35.1" thickBot="1">
      <c r="A222" s="93">
        <v>4.17</v>
      </c>
      <c r="C222" s="93" t="s">
        <v>3486</v>
      </c>
      <c r="D222" s="93" t="s">
        <v>4920</v>
      </c>
      <c r="E222" s="93" t="s">
        <v>4921</v>
      </c>
      <c r="F222" s="94" t="s">
        <v>4922</v>
      </c>
    </row>
    <row r="223" spans="1:7" ht="32.1" thickBot="1">
      <c r="A223" s="93">
        <v>4.18</v>
      </c>
      <c r="C223" s="93" t="s">
        <v>4923</v>
      </c>
      <c r="D223" s="93" t="s">
        <v>4924</v>
      </c>
      <c r="E223" s="93" t="s">
        <v>4925</v>
      </c>
      <c r="F223" s="94" t="s">
        <v>4926</v>
      </c>
    </row>
    <row r="224" spans="1:7" ht="32.1" thickBot="1">
      <c r="A224" s="93">
        <v>4.1900000000000004</v>
      </c>
      <c r="C224" s="93" t="s">
        <v>4859</v>
      </c>
      <c r="D224" s="93" t="s">
        <v>4927</v>
      </c>
      <c r="E224" s="93" t="s">
        <v>4928</v>
      </c>
      <c r="F224" s="94" t="s">
        <v>4929</v>
      </c>
    </row>
    <row r="225" spans="1:7" ht="32.1" thickBot="1">
      <c r="A225" s="93">
        <v>4.2</v>
      </c>
      <c r="C225" s="93" t="s">
        <v>4232</v>
      </c>
      <c r="D225" s="93" t="s">
        <v>4930</v>
      </c>
      <c r="E225" s="93" t="s">
        <v>4931</v>
      </c>
      <c r="F225" s="94" t="s">
        <v>4932</v>
      </c>
    </row>
    <row r="226" spans="1:7" ht="32.1" thickBot="1">
      <c r="A226" s="93">
        <v>4.21</v>
      </c>
      <c r="C226" s="93" t="s">
        <v>4933</v>
      </c>
      <c r="D226" s="93" t="s">
        <v>4934</v>
      </c>
      <c r="E226" s="93" t="s">
        <v>4935</v>
      </c>
      <c r="F226" s="94" t="s">
        <v>4936</v>
      </c>
    </row>
    <row r="227" spans="1:7">
      <c r="A227" s="30">
        <v>4.22</v>
      </c>
      <c r="C227" s="34" t="s">
        <v>4937</v>
      </c>
      <c r="D227" s="31" t="s">
        <v>4938</v>
      </c>
    </row>
    <row r="228" spans="1:7">
      <c r="D228" s="37"/>
    </row>
    <row r="229" spans="1:7">
      <c r="D229" s="37" t="s">
        <v>4939</v>
      </c>
    </row>
    <row r="230" spans="1:7">
      <c r="D230" s="37" t="s">
        <v>261</v>
      </c>
    </row>
    <row r="231" spans="1:7">
      <c r="D231" s="37" t="s">
        <v>506</v>
      </c>
    </row>
    <row r="232" spans="1:7">
      <c r="D232" s="37" t="s">
        <v>4940</v>
      </c>
    </row>
    <row r="233" spans="1:7">
      <c r="D233" s="31"/>
    </row>
    <row r="234" spans="1:7">
      <c r="D234" s="31" t="s">
        <v>4941</v>
      </c>
    </row>
    <row r="235" spans="1:7" ht="11.1" thickBot="1">
      <c r="B235" s="40"/>
      <c r="C235" s="40"/>
      <c r="D235" s="40"/>
      <c r="E235" s="40"/>
      <c r="F235" s="41"/>
      <c r="G235" s="40"/>
    </row>
    <row r="236" spans="1:7" ht="35.1" thickBot="1">
      <c r="A236" s="93">
        <v>5.0999999999999996</v>
      </c>
      <c r="C236" s="93" t="s">
        <v>4565</v>
      </c>
      <c r="D236" s="93" t="s">
        <v>4942</v>
      </c>
      <c r="E236" s="93" t="s">
        <v>4943</v>
      </c>
      <c r="F236" s="94" t="s">
        <v>4944</v>
      </c>
    </row>
    <row r="237" spans="1:7" ht="35.1" thickBot="1">
      <c r="A237" s="93">
        <v>5.2</v>
      </c>
      <c r="C237" s="93" t="s">
        <v>4563</v>
      </c>
      <c r="D237" s="93" t="s">
        <v>4945</v>
      </c>
      <c r="E237" s="93" t="s">
        <v>4946</v>
      </c>
      <c r="F237" s="94" t="s">
        <v>4947</v>
      </c>
    </row>
    <row r="238" spans="1:7" ht="32.1" thickBot="1">
      <c r="A238" s="93">
        <v>5.3</v>
      </c>
      <c r="C238" s="93" t="s">
        <v>4948</v>
      </c>
      <c r="D238" s="93" t="s">
        <v>4949</v>
      </c>
      <c r="E238" s="93" t="s">
        <v>4950</v>
      </c>
      <c r="F238" s="94" t="s">
        <v>4951</v>
      </c>
    </row>
    <row r="239" spans="1:7" ht="32.1" thickBot="1">
      <c r="A239" s="93">
        <v>5.4</v>
      </c>
      <c r="C239" s="93" t="s">
        <v>4952</v>
      </c>
      <c r="D239" s="93" t="s">
        <v>4953</v>
      </c>
      <c r="E239" s="93" t="s">
        <v>4954</v>
      </c>
      <c r="F239" s="94" t="s">
        <v>4955</v>
      </c>
    </row>
    <row r="240" spans="1:7" ht="32.1" thickBot="1">
      <c r="A240" s="93">
        <v>5.5</v>
      </c>
      <c r="C240" s="93" t="s">
        <v>4125</v>
      </c>
      <c r="D240" s="93" t="s">
        <v>4956</v>
      </c>
      <c r="E240" s="93" t="s">
        <v>4957</v>
      </c>
      <c r="F240" s="94" t="s">
        <v>4958</v>
      </c>
    </row>
    <row r="241" spans="1:6" ht="23.45" thickBot="1">
      <c r="A241" s="93">
        <v>5.6</v>
      </c>
      <c r="C241" s="93" t="s">
        <v>4959</v>
      </c>
      <c r="D241" s="93" t="s">
        <v>4960</v>
      </c>
      <c r="E241" s="93" t="s">
        <v>4961</v>
      </c>
      <c r="F241" s="94" t="s">
        <v>4962</v>
      </c>
    </row>
    <row r="242" spans="1:6" ht="32.1" thickBot="1">
      <c r="A242" s="93">
        <v>5.7</v>
      </c>
      <c r="C242" s="93" t="s">
        <v>4963</v>
      </c>
      <c r="D242" s="93" t="s">
        <v>4964</v>
      </c>
      <c r="E242" s="93" t="s">
        <v>4965</v>
      </c>
      <c r="F242" s="94" t="s">
        <v>4966</v>
      </c>
    </row>
    <row r="243" spans="1:6" ht="35.1" thickBot="1">
      <c r="A243" s="93">
        <v>5.8</v>
      </c>
      <c r="C243" s="93" t="s">
        <v>4270</v>
      </c>
      <c r="D243" s="93" t="s">
        <v>4967</v>
      </c>
      <c r="E243" s="93" t="s">
        <v>4968</v>
      </c>
      <c r="F243" s="94" t="s">
        <v>4969</v>
      </c>
    </row>
    <row r="244" spans="1:6" ht="32.1" thickBot="1">
      <c r="A244" s="93">
        <v>5.9</v>
      </c>
      <c r="C244" s="93" t="s">
        <v>4283</v>
      </c>
      <c r="D244" s="93" t="s">
        <v>4970</v>
      </c>
      <c r="E244" s="93" t="s">
        <v>4971</v>
      </c>
      <c r="F244" s="94" t="s">
        <v>4972</v>
      </c>
    </row>
    <row r="245" spans="1:6" ht="32.1" thickBot="1">
      <c r="A245" s="93">
        <v>5.0999999999999996</v>
      </c>
      <c r="C245" s="93" t="s">
        <v>4415</v>
      </c>
      <c r="D245" s="93" t="s">
        <v>4973</v>
      </c>
      <c r="E245" s="93" t="s">
        <v>4974</v>
      </c>
      <c r="F245" s="94" t="s">
        <v>4975</v>
      </c>
    </row>
    <row r="246" spans="1:6" ht="11.1" thickBot="1">
      <c r="A246" s="30">
        <v>5</v>
      </c>
      <c r="B246" s="34" t="s">
        <v>4976</v>
      </c>
      <c r="C246" s="45" t="s">
        <v>4977</v>
      </c>
      <c r="D246" s="45" t="s">
        <v>992</v>
      </c>
      <c r="E246" s="45" t="s">
        <v>993</v>
      </c>
      <c r="F246" s="45" t="s">
        <v>990</v>
      </c>
    </row>
    <row r="247" spans="1:6" ht="11.1" thickBot="1">
      <c r="C247" s="39" t="s">
        <v>4727</v>
      </c>
      <c r="D247" s="39" t="s">
        <v>4978</v>
      </c>
      <c r="E247" s="39" t="s">
        <v>1012</v>
      </c>
      <c r="F247" s="39" t="s">
        <v>997</v>
      </c>
    </row>
    <row r="248" spans="1:6" ht="11.1" thickBot="1">
      <c r="C248" s="39" t="s">
        <v>4979</v>
      </c>
      <c r="D248" s="39" t="s">
        <v>4978</v>
      </c>
      <c r="E248" s="39" t="s">
        <v>1012</v>
      </c>
      <c r="F248" s="39" t="s">
        <v>997</v>
      </c>
    </row>
    <row r="249" spans="1:6" ht="11.1" thickBot="1">
      <c r="C249" s="39" t="s">
        <v>3156</v>
      </c>
      <c r="D249" s="39" t="s">
        <v>2290</v>
      </c>
      <c r="E249" s="39" t="s">
        <v>1013</v>
      </c>
      <c r="F249" s="39" t="s">
        <v>997</v>
      </c>
    </row>
    <row r="250" spans="1:6" s="32" customFormat="1" ht="11.1" thickBot="1">
      <c r="A250" s="30"/>
      <c r="B250" s="30"/>
      <c r="C250" s="39" t="s">
        <v>3075</v>
      </c>
      <c r="D250" s="39" t="s">
        <v>2290</v>
      </c>
      <c r="E250" s="39" t="s">
        <v>1013</v>
      </c>
      <c r="F250" s="39" t="s">
        <v>997</v>
      </c>
    </row>
    <row r="251" spans="1:6" ht="11.1" thickBot="1">
      <c r="C251" s="39" t="s">
        <v>4980</v>
      </c>
      <c r="D251" s="39" t="s">
        <v>2290</v>
      </c>
      <c r="E251" s="39" t="s">
        <v>1013</v>
      </c>
      <c r="F251" s="39" t="s">
        <v>997</v>
      </c>
    </row>
    <row r="252" spans="1:6" ht="11.1" thickBot="1">
      <c r="C252" s="39" t="s">
        <v>4781</v>
      </c>
      <c r="D252" s="39" t="s">
        <v>2290</v>
      </c>
      <c r="E252" s="39" t="s">
        <v>1012</v>
      </c>
      <c r="F252" s="39" t="s">
        <v>1004</v>
      </c>
    </row>
    <row r="253" spans="1:6" ht="11.1" thickBot="1">
      <c r="C253" s="39" t="s">
        <v>4981</v>
      </c>
      <c r="D253" s="39" t="s">
        <v>2290</v>
      </c>
      <c r="E253" s="39" t="s">
        <v>1012</v>
      </c>
      <c r="F253" s="39" t="s">
        <v>1004</v>
      </c>
    </row>
    <row r="254" spans="1:6" ht="11.1" thickBot="1">
      <c r="C254" s="39" t="s">
        <v>4912</v>
      </c>
      <c r="D254" s="39" t="s">
        <v>2290</v>
      </c>
      <c r="E254" s="39" t="s">
        <v>1012</v>
      </c>
      <c r="F254" s="39" t="s">
        <v>1004</v>
      </c>
    </row>
    <row r="255" spans="1:6" ht="11.1" thickBot="1">
      <c r="C255" s="39" t="s">
        <v>3486</v>
      </c>
      <c r="D255" s="39" t="s">
        <v>4978</v>
      </c>
      <c r="E255" s="39" t="s">
        <v>2290</v>
      </c>
      <c r="F255" s="39" t="s">
        <v>1004</v>
      </c>
    </row>
    <row r="256" spans="1:6" ht="11.1" thickBot="1">
      <c r="C256" s="39" t="s">
        <v>4982</v>
      </c>
      <c r="D256" s="39" t="s">
        <v>1012</v>
      </c>
      <c r="E256" s="39" t="s">
        <v>1013</v>
      </c>
      <c r="F256" s="39" t="s">
        <v>1010</v>
      </c>
    </row>
    <row r="257" spans="1:7" ht="11.1" thickBot="1">
      <c r="C257" s="39" t="s">
        <v>4983</v>
      </c>
      <c r="D257" s="39" t="s">
        <v>1012</v>
      </c>
      <c r="E257" s="39" t="s">
        <v>1013</v>
      </c>
      <c r="F257" s="39" t="s">
        <v>1010</v>
      </c>
    </row>
    <row r="258" spans="1:7" ht="11.1" thickBot="1">
      <c r="C258" s="39" t="s">
        <v>4984</v>
      </c>
      <c r="D258" s="39" t="s">
        <v>1013</v>
      </c>
      <c r="E258" s="39" t="s">
        <v>1018</v>
      </c>
      <c r="F258" s="39" t="s">
        <v>1016</v>
      </c>
    </row>
    <row r="259" spans="1:7">
      <c r="B259" s="40"/>
      <c r="C259" s="40"/>
      <c r="D259" s="40"/>
      <c r="E259" s="40"/>
      <c r="F259" s="41"/>
      <c r="G259" s="40"/>
    </row>
    <row r="260" spans="1:7">
      <c r="A260" s="30">
        <v>6</v>
      </c>
      <c r="B260" s="43" t="s">
        <v>4985</v>
      </c>
    </row>
    <row r="261" spans="1:7">
      <c r="C261" s="31"/>
    </row>
    <row r="262" spans="1:7">
      <c r="A262" s="32"/>
      <c r="B262" s="43" t="s">
        <v>4986</v>
      </c>
      <c r="C262" s="32"/>
      <c r="D262" s="32"/>
      <c r="E262" s="33" t="s">
        <v>4987</v>
      </c>
    </row>
    <row r="263" spans="1:7">
      <c r="B263" s="37"/>
    </row>
    <row r="264" spans="1:7">
      <c r="B264" s="37" t="s">
        <v>4988</v>
      </c>
    </row>
    <row r="265" spans="1:7">
      <c r="B265" s="37" t="s">
        <v>4989</v>
      </c>
    </row>
    <row r="266" spans="1:7">
      <c r="B266" s="37" t="s">
        <v>4990</v>
      </c>
    </row>
    <row r="267" spans="1:7">
      <c r="B267" s="37" t="s">
        <v>3156</v>
      </c>
    </row>
    <row r="268" spans="1:7">
      <c r="B268" s="37" t="s">
        <v>4991</v>
      </c>
    </row>
    <row r="269" spans="1:7">
      <c r="C269" s="31"/>
    </row>
    <row r="270" spans="1:7">
      <c r="B270" s="43" t="s">
        <v>4992</v>
      </c>
    </row>
    <row r="271" spans="1:7">
      <c r="B271" s="37"/>
    </row>
    <row r="272" spans="1:7">
      <c r="B272" s="37" t="s">
        <v>4993</v>
      </c>
    </row>
    <row r="273" spans="2:3">
      <c r="B273" s="37" t="s">
        <v>4912</v>
      </c>
    </row>
    <row r="274" spans="2:3">
      <c r="B274" s="37" t="s">
        <v>4994</v>
      </c>
    </row>
    <row r="275" spans="2:3">
      <c r="B275" s="37" t="s">
        <v>4980</v>
      </c>
    </row>
    <row r="276" spans="2:3">
      <c r="C276" s="31"/>
    </row>
    <row r="277" spans="2:3">
      <c r="B277" s="43" t="s">
        <v>4995</v>
      </c>
    </row>
    <row r="278" spans="2:3">
      <c r="B278" s="37"/>
    </row>
    <row r="279" spans="2:3">
      <c r="B279" s="37" t="s">
        <v>4996</v>
      </c>
    </row>
    <row r="280" spans="2:3">
      <c r="B280" s="37" t="s">
        <v>4997</v>
      </c>
    </row>
    <row r="281" spans="2:3">
      <c r="B281" s="37" t="s">
        <v>4998</v>
      </c>
    </row>
    <row r="282" spans="2:3">
      <c r="B282" s="37" t="s">
        <v>4999</v>
      </c>
    </row>
    <row r="283" spans="2:3">
      <c r="C283" s="31"/>
    </row>
  </sheetData>
  <hyperlinks>
    <hyperlink ref="E2" r:id="rId1" display="https://wipro365-my.sharepoint.com/personal/su20278582_wipro_com/Documents/Microsoft Copilot Chat Files/MEntor-Wipro Work Order Final - signed.pdf" xr:uid="{AB9251CC-34E1-4F9D-AD78-67F0E637A81D}"/>
    <hyperlink ref="D78" r:id="rId2" display="https://wipro365-my.sharepoint.com/personal/su20278582_wipro_com/Documents/Microsoft Copilot Chat Files/MEntor-Wipro Work Order Final - signed.pdf" xr:uid="{01B0D177-944D-4073-8203-2590AAA4E6EE}"/>
    <hyperlink ref="E107" r:id="rId3" display="https://wipro365-my.sharepoint.com/personal/su20278582_wipro_com/Documents/Microsoft Copilot Chat Files/MEntor-Wipro Work Order Final - signed.pdf" xr:uid="{8899CB3C-77B7-4C7A-896C-DEB2105E25BC}"/>
    <hyperlink ref="C197" r:id="rId4" display="https://wipro365-my.sharepoint.com/personal/su20278582_wipro_com/Documents/Microsoft Copilot Chat Files/MEntor-Wipro Work Order Final - signed.pdf" xr:uid="{F4851807-E8F2-42CD-949F-8CBA61EC8229}"/>
    <hyperlink ref="E262" r:id="rId5" display="https://wipro365-my.sharepoint.com/personal/su20278582_wipro_com/Documents/Microsoft Copilot Chat Files/MEntor-Wipro Work Order Final - signed.pdf" xr:uid="{C58E2911-6102-4003-BFDD-967EBFBC2B67}"/>
    <hyperlink ref="F215" r:id="rId6" display="../../../../_layouts/15/Doc.aspx?sourcedoc=%7B0BD25D50-1EAC-4927-B1CF-579FBA80C487%7D&amp;file=Medical_Device_Business_Services_Inc_Mentor.xlsx&amp;action=default&amp;mobileredirect=true" xr:uid="{41F429B4-CBFD-480E-A651-118D8B907826}"/>
    <hyperlink ref="F216" r:id="rId7" display="../../../../_layouts/15/Doc.aspx?sourcedoc=%7B0BD25D50-1EAC-4927-B1CF-579FBA80C487%7D&amp;file=Medical_Device_Business_Services_Inc_Mentor.xlsx&amp;action=default&amp;mobileredirect=true" xr:uid="{39D7F51A-563B-4256-9F4D-77458C1EC2CA}"/>
    <hyperlink ref="F217" r:id="rId8" display="../../../../_layouts/15/Doc.aspx?sourcedoc=%7B0BD25D50-1EAC-4927-B1CF-579FBA80C487%7D&amp;file=Medical_Device_Business_Services_Inc_Mentor.xlsx&amp;action=default&amp;mobileredirect=true" xr:uid="{FED189C8-0F32-44A1-A752-7D8F53103A88}"/>
    <hyperlink ref="F218" r:id="rId9" display="../../../../_layouts/15/Doc.aspx?sourcedoc=%7B0BD25D50-1EAC-4927-B1CF-579FBA80C487%7D&amp;file=Medical_Device_Business_Services_Inc_Mentor.xlsx&amp;action=default&amp;mobileredirect=true" xr:uid="{3F827615-A6C2-48A3-AFAD-6004E09CC8C0}"/>
    <hyperlink ref="F219" r:id="rId10" display="../../../../_layouts/15/Doc.aspx?sourcedoc=%7B0BD25D50-1EAC-4927-B1CF-579FBA80C487%7D&amp;file=Medical_Device_Business_Services_Inc_Mentor.xlsx&amp;action=default&amp;mobileredirect=true" xr:uid="{9C182A81-7870-4172-94D0-B1A460B1E798}"/>
    <hyperlink ref="F220" r:id="rId11" display="../../../../_layouts/15/Doc.aspx?sourcedoc=%7B0BD25D50-1EAC-4927-B1CF-579FBA80C487%7D&amp;file=Medical_Device_Business_Services_Inc_Mentor.xlsx&amp;action=default&amp;mobileredirect=true" xr:uid="{9ED81D4D-F73C-4977-B4AD-3A51D16CEB0E}"/>
    <hyperlink ref="F221" r:id="rId12" display="../../../../_layouts/15/Doc.aspx?sourcedoc=%7B0BD25D50-1EAC-4927-B1CF-579FBA80C487%7D&amp;file=Medical_Device_Business_Services_Inc_Mentor.xlsx&amp;action=default&amp;mobileredirect=true" xr:uid="{6A5168B2-CF82-405B-BB4E-1777C72826FA}"/>
    <hyperlink ref="F222" r:id="rId13" display="../../../../_layouts/15/Doc.aspx?sourcedoc=%7B0BD25D50-1EAC-4927-B1CF-579FBA80C487%7D&amp;file=Medical_Device_Business_Services_Inc_Mentor.xlsx&amp;action=default&amp;mobileredirect=true" xr:uid="{E89A5DEC-9C59-4EEB-9DE0-59D0E6A5115A}"/>
    <hyperlink ref="F223" r:id="rId14" display="../../../../_layouts/15/Doc.aspx?sourcedoc=%7B0BD25D50-1EAC-4927-B1CF-579FBA80C487%7D&amp;file=Medical_Device_Business_Services_Inc_Mentor.xlsx&amp;action=default&amp;mobileredirect=true" xr:uid="{8114740B-76C1-4431-91AF-5220CA8AB5FA}"/>
    <hyperlink ref="F224" r:id="rId15" display="../../../../_layouts/15/Doc.aspx?sourcedoc=%7B0BD25D50-1EAC-4927-B1CF-579FBA80C487%7D&amp;file=Medical_Device_Business_Services_Inc_Mentor.xlsx&amp;action=default&amp;mobileredirect=true" xr:uid="{FD33FADE-B2AA-4975-89E5-0D8BAD8E1EBE}"/>
    <hyperlink ref="F225" r:id="rId16" display="../../../../_layouts/15/Doc.aspx?sourcedoc=%7B0BD25D50-1EAC-4927-B1CF-579FBA80C487%7D&amp;file=Medical_Device_Business_Services_Inc_Mentor.xlsx&amp;action=default&amp;mobileredirect=true" xr:uid="{1B680A44-8019-4C1D-A7BD-B2FD6A2B446E}"/>
    <hyperlink ref="F226" r:id="rId17" display="../../../../_layouts/15/Doc.aspx?sourcedoc=%7B0BD25D50-1EAC-4927-B1CF-579FBA80C487%7D&amp;file=Medical_Device_Business_Services_Inc_Mentor.xlsx&amp;action=default&amp;mobileredirect=true" xr:uid="{CDD7E116-3117-4572-8648-486FA3ADB62F}"/>
    <hyperlink ref="F236" r:id="rId18" display="../../../../_layouts/15/Doc.aspx?sourcedoc=%7B0BD25D50-1EAC-4927-B1CF-579FBA80C487%7D&amp;file=Medical_Device_Business_Services_Inc_Mentor.xlsx&amp;action=default&amp;mobileredirect=true" xr:uid="{74F1C10D-1A59-4DE9-841C-271FBCAD8680}"/>
    <hyperlink ref="F237" r:id="rId19" display="../../../../_layouts/15/Doc.aspx?sourcedoc=%7B0BD25D50-1EAC-4927-B1CF-579FBA80C487%7D&amp;file=Medical_Device_Business_Services_Inc_Mentor.xlsx&amp;action=default&amp;mobileredirect=true" xr:uid="{48C090EF-679C-48C0-A6A0-7454D31BFCE7}"/>
    <hyperlink ref="F238" r:id="rId20" display="../../../../_layouts/15/Doc.aspx?sourcedoc=%7B0BD25D50-1EAC-4927-B1CF-579FBA80C487%7D&amp;file=Medical_Device_Business_Services_Inc_Mentor.xlsx&amp;action=default&amp;mobileredirect=true" xr:uid="{A3E9BB31-8EB2-4311-9722-CE71C029DBCC}"/>
    <hyperlink ref="F239" r:id="rId21" display="../../../../_layouts/15/Doc.aspx?sourcedoc=%7B0BD25D50-1EAC-4927-B1CF-579FBA80C487%7D&amp;file=Medical_Device_Business_Services_Inc_Mentor.xlsx&amp;action=default&amp;mobileredirect=true" xr:uid="{AD09A6C7-0996-4243-9FCB-FD57947B49FF}"/>
    <hyperlink ref="F240" r:id="rId22" display="../../../../_layouts/15/Doc.aspx?sourcedoc=%7B0BD25D50-1EAC-4927-B1CF-579FBA80C487%7D&amp;file=Medical_Device_Business_Services_Inc_Mentor.xlsx&amp;action=default&amp;mobileredirect=true" xr:uid="{D8B32F62-4219-4645-9321-F8FE1C1A5A62}"/>
    <hyperlink ref="F241" r:id="rId23" display="../../../../_layouts/15/Doc.aspx?sourcedoc=%7B0BD25D50-1EAC-4927-B1CF-579FBA80C487%7D&amp;file=Medical_Device_Business_Services_Inc_Mentor.xlsx&amp;action=default&amp;mobileredirect=true" xr:uid="{C308F0D9-4167-4B81-A77C-0B49DB06123B}"/>
    <hyperlink ref="F242" r:id="rId24" display="../../../../_layouts/15/Doc.aspx?sourcedoc=%7B0BD25D50-1EAC-4927-B1CF-579FBA80C487%7D&amp;file=Medical_Device_Business_Services_Inc_Mentor.xlsx&amp;action=default&amp;mobileredirect=true" xr:uid="{6E476162-2C0D-4CD9-BE02-A453CD5236A4}"/>
    <hyperlink ref="F243" r:id="rId25" display="../../../../_layouts/15/Doc.aspx?sourcedoc=%7B0BD25D50-1EAC-4927-B1CF-579FBA80C487%7D&amp;file=Medical_Device_Business_Services_Inc_Mentor.xlsx&amp;action=default&amp;mobileredirect=true" xr:uid="{E06E3BDA-6E00-4B6E-BABE-24692CF6204B}"/>
    <hyperlink ref="F244" r:id="rId26" display="../../../../_layouts/15/Doc.aspx?sourcedoc=%7B0BD25D50-1EAC-4927-B1CF-579FBA80C487%7D&amp;file=Medical_Device_Business_Services_Inc_Mentor.xlsx&amp;action=default&amp;mobileredirect=true" xr:uid="{A42BB9C0-BF79-4DAA-8D6C-940A26B628CE}"/>
    <hyperlink ref="F245" r:id="rId27" display="../../../../_layouts/15/Doc.aspx?sourcedoc=%7B0BD25D50-1EAC-4927-B1CF-579FBA80C487%7D&amp;file=Medical_Device_Business_Services_Inc_Mentor.xlsx&amp;action=default&amp;mobileredirect=true" xr:uid="{802DF9F7-DD82-42EB-B1EF-C82C4D25CC38}"/>
  </hyperlinks>
  <pageMargins left="0.7" right="0.7" top="0.75" bottom="0.75" header="0.3" footer="0.3"/>
  <headerFooter>
    <oddFooter>&amp;L_x000D_&amp;1#&amp;"Aptos"&amp;10&amp;K000000 Confidential-Internal</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98433-47E1-41E9-84C3-9D4658AD63F2}">
  <dimension ref="A1:G12"/>
  <sheetViews>
    <sheetView workbookViewId="0">
      <selection activeCell="I11" sqref="I11:J11"/>
    </sheetView>
  </sheetViews>
  <sheetFormatPr defaultRowHeight="14.45"/>
  <cols>
    <col min="2" max="2" width="87.28515625" customWidth="1"/>
    <col min="3" max="3" width="12.140625" customWidth="1"/>
    <col min="4" max="4" width="26.28515625" customWidth="1"/>
    <col min="6" max="6" width="13.140625" bestFit="1" customWidth="1"/>
  </cols>
  <sheetData>
    <row r="1" spans="1:7">
      <c r="B1" t="s">
        <v>5000</v>
      </c>
      <c r="C1" t="s">
        <v>5001</v>
      </c>
      <c r="D1" t="s">
        <v>2638</v>
      </c>
      <c r="E1" t="s">
        <v>5002</v>
      </c>
      <c r="F1" t="s">
        <v>5003</v>
      </c>
      <c r="G1" t="s">
        <v>5004</v>
      </c>
    </row>
    <row r="2" spans="1:7">
      <c r="A2">
        <f t="shared" ref="A2:A10" si="0">ROW() - ROW($A$2) + 1</f>
        <v>1</v>
      </c>
      <c r="B2" t="s">
        <v>5005</v>
      </c>
      <c r="D2" t="s">
        <v>5006</v>
      </c>
    </row>
    <row r="3" spans="1:7">
      <c r="A3">
        <f t="shared" si="0"/>
        <v>2</v>
      </c>
      <c r="B3" t="s">
        <v>5007</v>
      </c>
      <c r="D3" t="s">
        <v>5006</v>
      </c>
    </row>
    <row r="4" spans="1:7">
      <c r="A4">
        <f t="shared" si="0"/>
        <v>3</v>
      </c>
      <c r="B4" t="s">
        <v>5008</v>
      </c>
      <c r="D4" t="s">
        <v>5006</v>
      </c>
    </row>
    <row r="5" spans="1:7">
      <c r="A5">
        <f t="shared" si="0"/>
        <v>4</v>
      </c>
      <c r="B5" t="s">
        <v>5009</v>
      </c>
      <c r="D5" t="s">
        <v>5006</v>
      </c>
    </row>
    <row r="6" spans="1:7">
      <c r="A6">
        <f t="shared" si="0"/>
        <v>5</v>
      </c>
      <c r="B6" t="s">
        <v>5010</v>
      </c>
      <c r="D6" t="s">
        <v>5011</v>
      </c>
    </row>
    <row r="7" spans="1:7">
      <c r="A7">
        <f t="shared" si="0"/>
        <v>6</v>
      </c>
      <c r="B7" t="s">
        <v>5012</v>
      </c>
      <c r="D7" t="s">
        <v>5013</v>
      </c>
    </row>
    <row r="8" spans="1:7">
      <c r="A8">
        <f t="shared" si="0"/>
        <v>7</v>
      </c>
      <c r="B8" t="s">
        <v>5014</v>
      </c>
    </row>
    <row r="9" spans="1:7">
      <c r="A9">
        <f t="shared" si="0"/>
        <v>8</v>
      </c>
      <c r="B9" t="s">
        <v>5015</v>
      </c>
    </row>
    <row r="10" spans="1:7">
      <c r="A10">
        <f t="shared" si="0"/>
        <v>9</v>
      </c>
      <c r="B10" t="s">
        <v>5016</v>
      </c>
      <c r="D10" t="s">
        <v>5006</v>
      </c>
    </row>
    <row r="11" spans="1:7">
      <c r="D11" t="s">
        <v>5017</v>
      </c>
    </row>
    <row r="12" spans="1:7">
      <c r="D12" t="s">
        <v>5018</v>
      </c>
    </row>
  </sheetData>
  <pageMargins left="0.7" right="0.7" top="0.75" bottom="0.75" header="0.3" footer="0.3"/>
  <headerFooter>
    <oddFooter>&amp;L_x000D_&amp;1#&amp;"Aptos"&amp;10&amp;K000000 Confidential-Internal</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5324F-89AA-4A08-A7D3-7571A1A1B54A}">
  <dimension ref="A2:J231"/>
  <sheetViews>
    <sheetView tabSelected="1" workbookViewId="0">
      <selection activeCell="C3" sqref="C3"/>
    </sheetView>
  </sheetViews>
  <sheetFormatPr defaultColWidth="8.7109375" defaultRowHeight="12.95"/>
  <cols>
    <col min="1" max="1" width="8.7109375" style="155"/>
    <col min="2" max="2" width="25.7109375" style="155" customWidth="1"/>
    <col min="3" max="3" width="27.5703125" style="155" customWidth="1"/>
    <col min="4" max="4" width="25.85546875" style="155" customWidth="1"/>
    <col min="5" max="5" width="11.5703125" style="155" customWidth="1"/>
    <col min="6" max="6" width="17.42578125" style="155" bestFit="1" customWidth="1"/>
    <col min="7" max="7" width="28.140625" style="155" customWidth="1"/>
    <col min="8" max="8" width="44.5703125" style="155" customWidth="1"/>
    <col min="9" max="9" width="30.85546875" style="155" customWidth="1"/>
    <col min="10" max="10" width="44.5703125" style="155" customWidth="1"/>
    <col min="11" max="16384" width="8.7109375" style="155"/>
  </cols>
  <sheetData>
    <row r="2" spans="1:10" ht="13.5" thickBot="1"/>
    <row r="3" spans="1:10" ht="13.5" thickBot="1">
      <c r="A3" s="168" t="s">
        <v>824</v>
      </c>
      <c r="B3" s="151" t="s">
        <v>2264</v>
      </c>
      <c r="C3" s="152" t="s">
        <v>2265</v>
      </c>
      <c r="D3" s="152" t="s">
        <v>143</v>
      </c>
      <c r="E3" s="153" t="s">
        <v>2266</v>
      </c>
      <c r="F3" s="158" t="s">
        <v>2766</v>
      </c>
      <c r="G3" s="169" t="s">
        <v>5019</v>
      </c>
      <c r="H3" s="169" t="s">
        <v>5020</v>
      </c>
      <c r="I3" s="169" t="s">
        <v>5021</v>
      </c>
      <c r="J3" s="169" t="s">
        <v>5022</v>
      </c>
    </row>
    <row r="4" spans="1:10" ht="26.45" thickBot="1">
      <c r="A4" s="155" t="s">
        <v>824</v>
      </c>
      <c r="B4" s="156" t="s">
        <v>2264</v>
      </c>
      <c r="C4" s="159" t="s">
        <v>1726</v>
      </c>
      <c r="D4" s="159" t="s">
        <v>2267</v>
      </c>
      <c r="E4" s="160">
        <v>1</v>
      </c>
      <c r="G4" s="170" t="s">
        <v>5023</v>
      </c>
      <c r="H4" s="170" t="s">
        <v>5024</v>
      </c>
      <c r="I4" s="170" t="s">
        <v>2267</v>
      </c>
      <c r="J4" s="170" t="s">
        <v>5025</v>
      </c>
    </row>
    <row r="5" spans="1:10" ht="26.45" thickBot="1">
      <c r="A5" s="155" t="s">
        <v>824</v>
      </c>
      <c r="B5" s="156" t="s">
        <v>2264</v>
      </c>
      <c r="C5" s="159" t="s">
        <v>1726</v>
      </c>
      <c r="D5" s="159" t="s">
        <v>2268</v>
      </c>
      <c r="E5" s="161" t="s">
        <v>1047</v>
      </c>
      <c r="G5" s="170" t="s">
        <v>5026</v>
      </c>
      <c r="H5" s="170" t="s">
        <v>5027</v>
      </c>
      <c r="I5" s="170" t="s">
        <v>2268</v>
      </c>
      <c r="J5" s="170" t="s">
        <v>5028</v>
      </c>
    </row>
    <row r="6" spans="1:10" ht="26.45" thickBot="1">
      <c r="A6" s="155" t="s">
        <v>824</v>
      </c>
      <c r="B6" s="156" t="s">
        <v>2264</v>
      </c>
      <c r="C6" s="159" t="s">
        <v>2209</v>
      </c>
      <c r="D6" s="159" t="s">
        <v>2269</v>
      </c>
      <c r="E6" s="160">
        <v>1</v>
      </c>
      <c r="G6" s="170" t="s">
        <v>5029</v>
      </c>
      <c r="H6" s="170" t="s">
        <v>5030</v>
      </c>
      <c r="I6" s="170" t="s">
        <v>2269</v>
      </c>
      <c r="J6" s="170" t="s">
        <v>5031</v>
      </c>
    </row>
    <row r="7" spans="1:10" ht="26.45" thickBot="1">
      <c r="A7" s="155" t="s">
        <v>824</v>
      </c>
      <c r="B7" s="156" t="s">
        <v>2264</v>
      </c>
      <c r="C7" s="159" t="s">
        <v>2209</v>
      </c>
      <c r="D7" s="159" t="s">
        <v>1648</v>
      </c>
      <c r="E7" s="161" t="s">
        <v>1060</v>
      </c>
      <c r="G7" s="170" t="s">
        <v>5029</v>
      </c>
      <c r="H7" s="170" t="s">
        <v>5030</v>
      </c>
      <c r="I7" s="170" t="s">
        <v>1648</v>
      </c>
      <c r="J7" s="170" t="s">
        <v>5032</v>
      </c>
    </row>
    <row r="8" spans="1:10" ht="26.45" thickBot="1">
      <c r="A8" s="155" t="s">
        <v>824</v>
      </c>
      <c r="B8" s="156" t="s">
        <v>2264</v>
      </c>
      <c r="C8" s="159" t="s">
        <v>1683</v>
      </c>
      <c r="D8" s="159" t="s">
        <v>2270</v>
      </c>
      <c r="E8" s="161" t="s">
        <v>1074</v>
      </c>
      <c r="G8" s="170" t="s">
        <v>5026</v>
      </c>
      <c r="H8" s="170" t="s">
        <v>5027</v>
      </c>
      <c r="I8" s="170" t="s">
        <v>2270</v>
      </c>
      <c r="J8" s="170" t="s">
        <v>5033</v>
      </c>
    </row>
    <row r="9" spans="1:10" ht="26.45" thickBot="1">
      <c r="A9" s="155" t="s">
        <v>824</v>
      </c>
      <c r="B9" s="156" t="s">
        <v>2264</v>
      </c>
      <c r="C9" s="159" t="s">
        <v>5034</v>
      </c>
      <c r="D9" s="159" t="s">
        <v>2271</v>
      </c>
      <c r="E9" s="160">
        <v>1</v>
      </c>
      <c r="G9" s="170" t="s">
        <v>5035</v>
      </c>
      <c r="H9" s="170" t="s">
        <v>5036</v>
      </c>
      <c r="I9" s="170" t="s">
        <v>2271</v>
      </c>
      <c r="J9" s="170" t="s">
        <v>5031</v>
      </c>
    </row>
    <row r="10" spans="1:10" ht="26.45" thickBot="1">
      <c r="A10" s="155" t="s">
        <v>824</v>
      </c>
      <c r="B10" s="156" t="s">
        <v>2264</v>
      </c>
      <c r="C10" s="159" t="s">
        <v>5034</v>
      </c>
      <c r="D10" s="159" t="s">
        <v>2272</v>
      </c>
      <c r="E10" s="160">
        <v>1</v>
      </c>
      <c r="G10" s="170" t="s">
        <v>5037</v>
      </c>
      <c r="H10" s="170" t="s">
        <v>5038</v>
      </c>
      <c r="I10" s="170" t="s">
        <v>2272</v>
      </c>
      <c r="J10" s="170" t="s">
        <v>5031</v>
      </c>
    </row>
    <row r="11" spans="1:10" ht="26.45" thickBot="1">
      <c r="A11" s="155" t="s">
        <v>824</v>
      </c>
      <c r="B11" s="156" t="s">
        <v>2264</v>
      </c>
      <c r="C11" s="159" t="s">
        <v>2254</v>
      </c>
      <c r="D11" s="159" t="s">
        <v>2274</v>
      </c>
      <c r="E11" s="160">
        <v>1</v>
      </c>
      <c r="G11" s="170" t="s">
        <v>5039</v>
      </c>
      <c r="H11" s="170" t="s">
        <v>5040</v>
      </c>
      <c r="I11" s="170" t="s">
        <v>2274</v>
      </c>
      <c r="J11" s="170" t="s">
        <v>5025</v>
      </c>
    </row>
    <row r="12" spans="1:10" ht="26.45" thickBot="1">
      <c r="A12" s="155" t="s">
        <v>824</v>
      </c>
      <c r="B12" s="156" t="s">
        <v>2264</v>
      </c>
      <c r="C12" s="159" t="s">
        <v>5041</v>
      </c>
      <c r="D12" s="159" t="s">
        <v>2276</v>
      </c>
      <c r="E12" s="161" t="s">
        <v>1060</v>
      </c>
      <c r="G12" s="170" t="s">
        <v>5026</v>
      </c>
      <c r="H12" s="170" t="s">
        <v>5027</v>
      </c>
      <c r="I12" s="170" t="s">
        <v>2276</v>
      </c>
      <c r="J12" s="170" t="s">
        <v>5033</v>
      </c>
    </row>
    <row r="13" spans="1:10" ht="26.45" thickBot="1">
      <c r="A13" s="155" t="s">
        <v>824</v>
      </c>
      <c r="B13" s="156" t="s">
        <v>2264</v>
      </c>
      <c r="C13" s="159" t="s">
        <v>5042</v>
      </c>
      <c r="D13" s="159" t="s">
        <v>2278</v>
      </c>
      <c r="E13" s="161" t="s">
        <v>2279</v>
      </c>
      <c r="G13" s="170" t="s">
        <v>5043</v>
      </c>
      <c r="H13" s="170" t="s">
        <v>5044</v>
      </c>
      <c r="I13" s="170" t="s">
        <v>2278</v>
      </c>
      <c r="J13" s="170" t="s">
        <v>5025</v>
      </c>
    </row>
    <row r="14" spans="1:10" ht="13.5" thickBot="1">
      <c r="A14" s="155" t="s">
        <v>824</v>
      </c>
      <c r="B14" s="156" t="s">
        <v>2349</v>
      </c>
      <c r="C14" s="162" t="s">
        <v>2265</v>
      </c>
      <c r="D14" s="157" t="s">
        <v>143</v>
      </c>
      <c r="E14" s="163" t="s">
        <v>2266</v>
      </c>
      <c r="G14" s="170"/>
      <c r="H14" s="170"/>
      <c r="I14" s="170"/>
      <c r="J14" s="170"/>
    </row>
    <row r="15" spans="1:10" ht="26.45" thickBot="1">
      <c r="A15" s="155" t="s">
        <v>824</v>
      </c>
      <c r="B15" s="156" t="s">
        <v>2349</v>
      </c>
      <c r="C15" s="162" t="s">
        <v>1451</v>
      </c>
      <c r="D15" s="159" t="s">
        <v>2350</v>
      </c>
      <c r="E15" s="164" t="s">
        <v>1060</v>
      </c>
      <c r="G15" s="170" t="s">
        <v>5026</v>
      </c>
      <c r="H15" s="170" t="s">
        <v>5027</v>
      </c>
      <c r="I15" s="170" t="s">
        <v>2350</v>
      </c>
      <c r="J15" s="170" t="s">
        <v>5032</v>
      </c>
    </row>
    <row r="16" spans="1:10" ht="26.45" thickBot="1">
      <c r="A16" s="155" t="s">
        <v>824</v>
      </c>
      <c r="B16" s="156" t="s">
        <v>2349</v>
      </c>
      <c r="C16" s="162" t="s">
        <v>5045</v>
      </c>
      <c r="D16" s="159" t="s">
        <v>2351</v>
      </c>
      <c r="E16" s="165">
        <v>1</v>
      </c>
      <c r="G16" s="170" t="s">
        <v>5037</v>
      </c>
      <c r="H16" s="170" t="s">
        <v>5038</v>
      </c>
      <c r="I16" s="170" t="s">
        <v>2351</v>
      </c>
      <c r="J16" s="170" t="s">
        <v>5031</v>
      </c>
    </row>
    <row r="17" spans="1:10" ht="26.45" thickBot="1">
      <c r="A17" s="155" t="s">
        <v>824</v>
      </c>
      <c r="B17" s="156" t="s">
        <v>2349</v>
      </c>
      <c r="C17" s="162" t="s">
        <v>5046</v>
      </c>
      <c r="D17" s="159" t="s">
        <v>2352</v>
      </c>
      <c r="E17" s="165">
        <v>1</v>
      </c>
      <c r="G17" s="170" t="s">
        <v>5047</v>
      </c>
      <c r="H17" s="170" t="s">
        <v>5048</v>
      </c>
      <c r="I17" s="170" t="s">
        <v>2352</v>
      </c>
      <c r="J17" s="170" t="s">
        <v>5033</v>
      </c>
    </row>
    <row r="18" spans="1:10" ht="26.45" thickBot="1">
      <c r="A18" s="155" t="s">
        <v>824</v>
      </c>
      <c r="B18" s="156" t="s">
        <v>2349</v>
      </c>
      <c r="C18" s="162" t="s">
        <v>2311</v>
      </c>
      <c r="D18" s="159" t="s">
        <v>2353</v>
      </c>
      <c r="E18" s="164" t="s">
        <v>1060</v>
      </c>
      <c r="G18" s="170" t="s">
        <v>5037</v>
      </c>
      <c r="H18" s="170" t="s">
        <v>5038</v>
      </c>
      <c r="I18" s="170" t="s">
        <v>2353</v>
      </c>
      <c r="J18" s="170" t="s">
        <v>5031</v>
      </c>
    </row>
    <row r="19" spans="1:10" ht="26.45" thickBot="1">
      <c r="A19" s="155" t="s">
        <v>824</v>
      </c>
      <c r="B19" s="156" t="s">
        <v>2349</v>
      </c>
      <c r="C19" s="162" t="s">
        <v>3211</v>
      </c>
      <c r="D19" s="159" t="s">
        <v>2354</v>
      </c>
      <c r="E19" s="165">
        <v>1</v>
      </c>
      <c r="G19" s="170" t="s">
        <v>5035</v>
      </c>
      <c r="H19" s="170" t="s">
        <v>5036</v>
      </c>
      <c r="I19" s="170" t="s">
        <v>2354</v>
      </c>
      <c r="J19" s="170" t="s">
        <v>5033</v>
      </c>
    </row>
    <row r="20" spans="1:10" ht="26.45" thickBot="1">
      <c r="A20" s="155" t="s">
        <v>824</v>
      </c>
      <c r="B20" s="156" t="s">
        <v>2349</v>
      </c>
      <c r="C20" s="162" t="s">
        <v>3343</v>
      </c>
      <c r="D20" s="159" t="s">
        <v>2355</v>
      </c>
      <c r="E20" s="164" t="s">
        <v>1060</v>
      </c>
      <c r="G20" s="170" t="s">
        <v>5037</v>
      </c>
      <c r="H20" s="170" t="s">
        <v>5038</v>
      </c>
      <c r="I20" s="170" t="s">
        <v>2355</v>
      </c>
      <c r="J20" s="170" t="s">
        <v>5031</v>
      </c>
    </row>
    <row r="21" spans="1:10" ht="26.45" thickBot="1">
      <c r="A21" s="155" t="s">
        <v>824</v>
      </c>
      <c r="B21" s="156" t="s">
        <v>2349</v>
      </c>
      <c r="C21" s="162" t="s">
        <v>5049</v>
      </c>
      <c r="D21" s="159" t="s">
        <v>2356</v>
      </c>
      <c r="E21" s="164" t="s">
        <v>1060</v>
      </c>
      <c r="G21" s="170" t="s">
        <v>5037</v>
      </c>
      <c r="H21" s="170" t="s">
        <v>5038</v>
      </c>
      <c r="I21" s="170" t="s">
        <v>2356</v>
      </c>
      <c r="J21" s="170" t="s">
        <v>5032</v>
      </c>
    </row>
    <row r="22" spans="1:10" ht="26.45" thickBot="1">
      <c r="A22" s="155" t="s">
        <v>824</v>
      </c>
      <c r="B22" s="156" t="s">
        <v>2349</v>
      </c>
      <c r="C22" s="162" t="s">
        <v>5050</v>
      </c>
      <c r="D22" s="159" t="s">
        <v>2357</v>
      </c>
      <c r="E22" s="165">
        <v>1</v>
      </c>
      <c r="G22" s="170" t="s">
        <v>5037</v>
      </c>
      <c r="H22" s="170" t="s">
        <v>5038</v>
      </c>
      <c r="I22" s="170" t="s">
        <v>2357</v>
      </c>
      <c r="J22" s="170" t="s">
        <v>5031</v>
      </c>
    </row>
    <row r="23" spans="1:10" ht="26.45" thickBot="1">
      <c r="A23" s="155" t="s">
        <v>824</v>
      </c>
      <c r="B23" s="156" t="s">
        <v>2349</v>
      </c>
      <c r="C23" s="162" t="s">
        <v>5051</v>
      </c>
      <c r="D23" s="159" t="s">
        <v>2358</v>
      </c>
      <c r="E23" s="164" t="s">
        <v>1074</v>
      </c>
      <c r="G23" s="170" t="s">
        <v>5026</v>
      </c>
      <c r="H23" s="170" t="s">
        <v>5027</v>
      </c>
      <c r="I23" s="170" t="s">
        <v>2358</v>
      </c>
      <c r="J23" s="170" t="s">
        <v>5031</v>
      </c>
    </row>
    <row r="24" spans="1:10" ht="26.45" thickBot="1">
      <c r="A24" s="155" t="s">
        <v>824</v>
      </c>
      <c r="B24" s="156" t="s">
        <v>2349</v>
      </c>
      <c r="C24" s="162" t="s">
        <v>5052</v>
      </c>
      <c r="D24" s="159" t="s">
        <v>2359</v>
      </c>
      <c r="E24" s="164" t="s">
        <v>1060</v>
      </c>
      <c r="G24" s="170" t="s">
        <v>5053</v>
      </c>
      <c r="H24" s="170" t="s">
        <v>5054</v>
      </c>
      <c r="I24" s="170" t="s">
        <v>2359</v>
      </c>
      <c r="J24" s="170" t="s">
        <v>5055</v>
      </c>
    </row>
    <row r="25" spans="1:10" ht="13.5" thickBot="1">
      <c r="G25" s="170"/>
      <c r="H25" s="170"/>
      <c r="I25" s="170"/>
      <c r="J25" s="170"/>
    </row>
    <row r="26" spans="1:10" ht="13.5" thickBot="1">
      <c r="A26" s="168" t="s">
        <v>830</v>
      </c>
      <c r="B26" s="151" t="s">
        <v>2765</v>
      </c>
      <c r="C26" s="154" t="s">
        <v>2265</v>
      </c>
      <c r="D26" s="152" t="s">
        <v>143</v>
      </c>
      <c r="E26" s="168"/>
      <c r="F26" s="153" t="s">
        <v>2766</v>
      </c>
      <c r="G26" s="171"/>
      <c r="H26" s="171"/>
      <c r="I26" s="171"/>
      <c r="J26" s="171"/>
    </row>
    <row r="27" spans="1:10" ht="26.45" thickBot="1">
      <c r="A27" s="155" t="s">
        <v>830</v>
      </c>
      <c r="B27" s="156" t="s">
        <v>2765</v>
      </c>
      <c r="C27" s="166" t="s">
        <v>481</v>
      </c>
      <c r="D27" s="159" t="s">
        <v>440</v>
      </c>
      <c r="F27" s="167">
        <v>0.15</v>
      </c>
      <c r="G27" s="170" t="s">
        <v>5029</v>
      </c>
      <c r="H27" s="170" t="s">
        <v>5030</v>
      </c>
      <c r="I27" s="170" t="s">
        <v>440</v>
      </c>
      <c r="J27" s="170" t="s">
        <v>5056</v>
      </c>
    </row>
    <row r="28" spans="1:10" ht="26.45" thickBot="1">
      <c r="A28" s="155" t="s">
        <v>830</v>
      </c>
      <c r="B28" s="156" t="s">
        <v>2765</v>
      </c>
      <c r="C28" s="166" t="s">
        <v>5057</v>
      </c>
      <c r="D28" s="159" t="s">
        <v>2767</v>
      </c>
      <c r="F28" s="167">
        <v>0.2</v>
      </c>
      <c r="G28" s="170" t="s">
        <v>5026</v>
      </c>
      <c r="H28" s="170" t="s">
        <v>5027</v>
      </c>
      <c r="I28" s="170" t="s">
        <v>2767</v>
      </c>
      <c r="J28" s="170" t="s">
        <v>5028</v>
      </c>
    </row>
    <row r="29" spans="1:10" ht="26.45" thickBot="1">
      <c r="A29" s="155" t="s">
        <v>830</v>
      </c>
      <c r="B29" s="156" t="s">
        <v>2765</v>
      </c>
      <c r="C29" s="166" t="s">
        <v>481</v>
      </c>
      <c r="D29" s="159" t="s">
        <v>2768</v>
      </c>
      <c r="F29" s="167">
        <v>-0.3</v>
      </c>
      <c r="G29" s="170" t="s">
        <v>5029</v>
      </c>
      <c r="H29" s="170" t="s">
        <v>5030</v>
      </c>
      <c r="I29" s="170" t="s">
        <v>2768</v>
      </c>
      <c r="J29" s="170" t="s">
        <v>5058</v>
      </c>
    </row>
    <row r="30" spans="1:10" ht="26.45" thickBot="1">
      <c r="A30" s="155" t="s">
        <v>830</v>
      </c>
      <c r="B30" s="156" t="s">
        <v>2765</v>
      </c>
      <c r="C30" s="166" t="s">
        <v>4728</v>
      </c>
      <c r="D30" s="159" t="s">
        <v>2769</v>
      </c>
      <c r="F30" s="159" t="s">
        <v>2023</v>
      </c>
      <c r="G30" s="170" t="s">
        <v>5037</v>
      </c>
      <c r="H30" s="170" t="s">
        <v>5038</v>
      </c>
      <c r="I30" s="170" t="s">
        <v>2769</v>
      </c>
      <c r="J30" s="170" t="s">
        <v>5031</v>
      </c>
    </row>
    <row r="31" spans="1:10" ht="26.45" thickBot="1">
      <c r="A31" s="155" t="s">
        <v>830</v>
      </c>
      <c r="B31" s="156" t="s">
        <v>2765</v>
      </c>
      <c r="C31" s="166" t="s">
        <v>4728</v>
      </c>
      <c r="D31" s="159" t="s">
        <v>2770</v>
      </c>
      <c r="F31" s="167">
        <v>-0.5</v>
      </c>
      <c r="G31" s="170" t="s">
        <v>5059</v>
      </c>
      <c r="H31" s="170" t="s">
        <v>5060</v>
      </c>
      <c r="I31" s="170" t="s">
        <v>2770</v>
      </c>
      <c r="J31" s="170" t="s">
        <v>5058</v>
      </c>
    </row>
    <row r="32" spans="1:10" ht="26.45" thickBot="1">
      <c r="A32" s="155" t="s">
        <v>830</v>
      </c>
      <c r="B32" s="156" t="s">
        <v>2765</v>
      </c>
      <c r="C32" s="166" t="s">
        <v>308</v>
      </c>
      <c r="D32" s="159" t="s">
        <v>2771</v>
      </c>
      <c r="F32" s="167">
        <v>-0.3</v>
      </c>
      <c r="G32" s="170" t="s">
        <v>5047</v>
      </c>
      <c r="H32" s="170" t="s">
        <v>5048</v>
      </c>
      <c r="I32" s="170" t="s">
        <v>2771</v>
      </c>
      <c r="J32" s="170" t="s">
        <v>5058</v>
      </c>
    </row>
    <row r="33" spans="1:10" ht="26.45" thickBot="1">
      <c r="A33" s="155" t="s">
        <v>830</v>
      </c>
      <c r="B33" s="156" t="s">
        <v>2765</v>
      </c>
      <c r="C33" s="166" t="s">
        <v>2740</v>
      </c>
      <c r="D33" s="159" t="s">
        <v>2772</v>
      </c>
      <c r="F33" s="167">
        <v>-0.25</v>
      </c>
      <c r="G33" s="170" t="s">
        <v>5039</v>
      </c>
      <c r="H33" s="170" t="s">
        <v>5040</v>
      </c>
      <c r="I33" s="170" t="s">
        <v>2772</v>
      </c>
      <c r="J33" s="170" t="s">
        <v>5056</v>
      </c>
    </row>
    <row r="34" spans="1:10" ht="26.45" thickBot="1">
      <c r="A34" s="155" t="s">
        <v>830</v>
      </c>
      <c r="B34" s="156" t="s">
        <v>2765</v>
      </c>
      <c r="C34" s="166" t="s">
        <v>1420</v>
      </c>
      <c r="D34" s="159" t="s">
        <v>2773</v>
      </c>
      <c r="F34" s="167">
        <v>0.25</v>
      </c>
      <c r="G34" s="170" t="s">
        <v>5035</v>
      </c>
      <c r="H34" s="170" t="s">
        <v>5036</v>
      </c>
      <c r="I34" s="170" t="s">
        <v>2773</v>
      </c>
      <c r="J34" s="170" t="s">
        <v>5061</v>
      </c>
    </row>
    <row r="35" spans="1:10" ht="26.45" thickBot="1">
      <c r="A35" s="155" t="s">
        <v>830</v>
      </c>
      <c r="B35" s="156" t="s">
        <v>2765</v>
      </c>
      <c r="C35" s="166" t="s">
        <v>1443</v>
      </c>
      <c r="D35" s="159" t="s">
        <v>1630</v>
      </c>
      <c r="F35" s="167">
        <v>0.1</v>
      </c>
      <c r="G35" s="170" t="s">
        <v>5039</v>
      </c>
      <c r="H35" s="170" t="s">
        <v>5040</v>
      </c>
      <c r="I35" s="170" t="s">
        <v>1630</v>
      </c>
      <c r="J35" s="170" t="s">
        <v>5062</v>
      </c>
    </row>
    <row r="36" spans="1:10" ht="26.45" thickBot="1">
      <c r="A36" s="155" t="s">
        <v>830</v>
      </c>
      <c r="B36" s="156" t="s">
        <v>2765</v>
      </c>
      <c r="C36" s="166" t="s">
        <v>5063</v>
      </c>
      <c r="D36" s="159" t="s">
        <v>2774</v>
      </c>
      <c r="F36" s="159" t="s">
        <v>1052</v>
      </c>
      <c r="G36" s="170" t="s">
        <v>5026</v>
      </c>
      <c r="H36" s="170" t="s">
        <v>5027</v>
      </c>
      <c r="I36" s="170" t="s">
        <v>2774</v>
      </c>
      <c r="J36" s="170" t="s">
        <v>5064</v>
      </c>
    </row>
    <row r="37" spans="1:10" ht="13.5" thickBot="1">
      <c r="A37" s="168" t="s">
        <v>830</v>
      </c>
      <c r="B37" s="151" t="s">
        <v>2841</v>
      </c>
      <c r="C37" s="154" t="s">
        <v>2265</v>
      </c>
      <c r="D37" s="152" t="s">
        <v>143</v>
      </c>
      <c r="E37" s="152" t="s">
        <v>2266</v>
      </c>
      <c r="F37" s="168"/>
      <c r="G37" s="171"/>
      <c r="H37" s="171"/>
      <c r="I37" s="170"/>
      <c r="J37" s="170"/>
    </row>
    <row r="38" spans="1:10" ht="26.45" thickBot="1">
      <c r="A38" s="155" t="s">
        <v>830</v>
      </c>
      <c r="B38" s="156" t="s">
        <v>2841</v>
      </c>
      <c r="C38" s="166" t="s">
        <v>5065</v>
      </c>
      <c r="D38" s="159" t="s">
        <v>2842</v>
      </c>
      <c r="E38" s="159" t="s">
        <v>1047</v>
      </c>
      <c r="G38" s="170" t="s">
        <v>5029</v>
      </c>
      <c r="H38" s="170" t="s">
        <v>5030</v>
      </c>
      <c r="I38" s="170" t="s">
        <v>2842</v>
      </c>
      <c r="J38" s="170" t="s">
        <v>5066</v>
      </c>
    </row>
    <row r="39" spans="1:10" ht="26.45" thickBot="1">
      <c r="A39" s="155" t="s">
        <v>830</v>
      </c>
      <c r="B39" s="156" t="s">
        <v>2841</v>
      </c>
      <c r="C39" s="166" t="s">
        <v>5067</v>
      </c>
      <c r="D39" s="159" t="s">
        <v>2843</v>
      </c>
      <c r="E39" s="159" t="s">
        <v>1052</v>
      </c>
      <c r="G39" s="170" t="s">
        <v>5026</v>
      </c>
      <c r="H39" s="170" t="s">
        <v>5027</v>
      </c>
      <c r="I39" s="170" t="s">
        <v>2843</v>
      </c>
      <c r="J39" s="170" t="s">
        <v>5028</v>
      </c>
    </row>
    <row r="40" spans="1:10" ht="26.45" thickBot="1">
      <c r="A40" s="155" t="s">
        <v>830</v>
      </c>
      <c r="B40" s="156" t="s">
        <v>2841</v>
      </c>
      <c r="C40" s="166" t="s">
        <v>2806</v>
      </c>
      <c r="D40" s="159" t="s">
        <v>2844</v>
      </c>
      <c r="E40" s="159" t="s">
        <v>1052</v>
      </c>
      <c r="G40" s="170" t="s">
        <v>5029</v>
      </c>
      <c r="H40" s="170" t="s">
        <v>5030</v>
      </c>
      <c r="I40" s="170" t="s">
        <v>2844</v>
      </c>
      <c r="J40" s="170" t="s">
        <v>5068</v>
      </c>
    </row>
    <row r="41" spans="1:10" ht="26.45" thickBot="1">
      <c r="A41" s="155" t="s">
        <v>830</v>
      </c>
      <c r="B41" s="156" t="s">
        <v>2841</v>
      </c>
      <c r="C41" s="166" t="s">
        <v>5065</v>
      </c>
      <c r="D41" s="159" t="s">
        <v>2845</v>
      </c>
      <c r="E41" s="167">
        <v>-0.3</v>
      </c>
      <c r="G41" s="170" t="s">
        <v>5039</v>
      </c>
      <c r="H41" s="170" t="s">
        <v>5040</v>
      </c>
      <c r="I41" s="170" t="s">
        <v>2845</v>
      </c>
      <c r="J41" s="170" t="s">
        <v>5056</v>
      </c>
    </row>
    <row r="42" spans="1:10" ht="26.45" thickBot="1">
      <c r="A42" s="155" t="s">
        <v>830</v>
      </c>
      <c r="B42" s="156" t="s">
        <v>2841</v>
      </c>
      <c r="C42" s="166" t="s">
        <v>5069</v>
      </c>
      <c r="D42" s="159" t="s">
        <v>2846</v>
      </c>
      <c r="E42" s="159" t="s">
        <v>1047</v>
      </c>
      <c r="G42" s="170" t="s">
        <v>5026</v>
      </c>
      <c r="H42" s="170" t="s">
        <v>5027</v>
      </c>
      <c r="I42" s="170" t="s">
        <v>2846</v>
      </c>
      <c r="J42" s="170" t="s">
        <v>5028</v>
      </c>
    </row>
    <row r="43" spans="1:10" ht="26.45" thickBot="1">
      <c r="A43" s="155" t="s">
        <v>830</v>
      </c>
      <c r="B43" s="156" t="s">
        <v>2841</v>
      </c>
      <c r="C43" s="166" t="s">
        <v>2229</v>
      </c>
      <c r="D43" s="159" t="s">
        <v>2847</v>
      </c>
      <c r="E43" s="167">
        <v>-0.25</v>
      </c>
      <c r="G43" s="170" t="s">
        <v>5029</v>
      </c>
      <c r="H43" s="170" t="s">
        <v>5030</v>
      </c>
      <c r="I43" s="170" t="s">
        <v>2847</v>
      </c>
      <c r="J43" s="170" t="s">
        <v>5056</v>
      </c>
    </row>
    <row r="44" spans="1:10" ht="26.45" thickBot="1">
      <c r="A44" s="155" t="s">
        <v>830</v>
      </c>
      <c r="B44" s="156" t="s">
        <v>2841</v>
      </c>
      <c r="C44" s="166" t="s">
        <v>1443</v>
      </c>
      <c r="D44" s="159" t="s">
        <v>2848</v>
      </c>
      <c r="E44" s="167">
        <v>0.15</v>
      </c>
      <c r="G44" s="170" t="s">
        <v>5039</v>
      </c>
      <c r="H44" s="170" t="s">
        <v>5040</v>
      </c>
      <c r="I44" s="170" t="s">
        <v>2848</v>
      </c>
      <c r="J44" s="170" t="s">
        <v>5062</v>
      </c>
    </row>
    <row r="45" spans="1:10" ht="26.45" thickBot="1">
      <c r="A45" s="155" t="s">
        <v>830</v>
      </c>
      <c r="B45" s="156" t="s">
        <v>2841</v>
      </c>
      <c r="C45" s="166" t="s">
        <v>5070</v>
      </c>
      <c r="D45" s="159" t="s">
        <v>1899</v>
      </c>
      <c r="E45" s="167">
        <v>0.2</v>
      </c>
      <c r="G45" s="170" t="s">
        <v>5039</v>
      </c>
      <c r="H45" s="170" t="s">
        <v>5040</v>
      </c>
      <c r="I45" s="170" t="s">
        <v>1899</v>
      </c>
      <c r="J45" s="170" t="s">
        <v>5071</v>
      </c>
    </row>
    <row r="46" spans="1:10" ht="26.45" thickBot="1">
      <c r="A46" s="155" t="s">
        <v>830</v>
      </c>
      <c r="B46" s="156" t="s">
        <v>2841</v>
      </c>
      <c r="C46" s="166" t="s">
        <v>5065</v>
      </c>
      <c r="D46" s="159" t="s">
        <v>2849</v>
      </c>
      <c r="E46" s="167">
        <v>-0.35</v>
      </c>
      <c r="G46" s="170" t="s">
        <v>5039</v>
      </c>
      <c r="H46" s="170" t="s">
        <v>5040</v>
      </c>
      <c r="I46" s="170" t="s">
        <v>2849</v>
      </c>
      <c r="J46" s="170" t="s">
        <v>5058</v>
      </c>
    </row>
    <row r="47" spans="1:10" ht="26.45" thickBot="1">
      <c r="A47" s="155" t="s">
        <v>830</v>
      </c>
      <c r="B47" s="156" t="s">
        <v>2841</v>
      </c>
      <c r="C47" s="166" t="s">
        <v>4728</v>
      </c>
      <c r="D47" s="159" t="s">
        <v>2769</v>
      </c>
      <c r="E47" s="159" t="s">
        <v>2023</v>
      </c>
      <c r="G47" s="170" t="s">
        <v>5037</v>
      </c>
      <c r="H47" s="170" t="s">
        <v>5038</v>
      </c>
      <c r="I47" s="170" t="s">
        <v>2769</v>
      </c>
      <c r="J47" s="170" t="s">
        <v>5031</v>
      </c>
    </row>
    <row r="48" spans="1:10" ht="13.5" thickBot="1">
      <c r="A48" s="155" t="s">
        <v>830</v>
      </c>
      <c r="B48" s="156" t="s">
        <v>2916</v>
      </c>
      <c r="C48" s="155" t="s">
        <v>2265</v>
      </c>
      <c r="D48" s="157" t="s">
        <v>143</v>
      </c>
      <c r="E48" s="157" t="s">
        <v>2266</v>
      </c>
      <c r="G48" s="170"/>
      <c r="H48" s="170"/>
      <c r="I48" s="170"/>
      <c r="J48" s="170"/>
    </row>
    <row r="49" spans="1:10" ht="26.45" thickBot="1">
      <c r="A49" s="155" t="s">
        <v>830</v>
      </c>
      <c r="B49" s="156" t="s">
        <v>2916</v>
      </c>
      <c r="C49" s="155" t="s">
        <v>5072</v>
      </c>
      <c r="D49" s="159" t="s">
        <v>1488</v>
      </c>
      <c r="E49" s="161" t="s">
        <v>1047</v>
      </c>
      <c r="G49" s="170" t="s">
        <v>5026</v>
      </c>
      <c r="H49" s="170" t="s">
        <v>5027</v>
      </c>
      <c r="I49" s="170" t="s">
        <v>1488</v>
      </c>
      <c r="J49" s="170" t="s">
        <v>5028</v>
      </c>
    </row>
    <row r="50" spans="1:10" ht="26.45" thickBot="1">
      <c r="A50" s="155" t="s">
        <v>830</v>
      </c>
      <c r="B50" s="156" t="s">
        <v>2916</v>
      </c>
      <c r="C50" s="155" t="s">
        <v>5073</v>
      </c>
      <c r="D50" s="159" t="s">
        <v>2917</v>
      </c>
      <c r="E50" s="161" t="s">
        <v>1060</v>
      </c>
      <c r="G50" s="170" t="s">
        <v>5029</v>
      </c>
      <c r="H50" s="170" t="s">
        <v>5030</v>
      </c>
      <c r="I50" s="170" t="s">
        <v>2917</v>
      </c>
      <c r="J50" s="170" t="s">
        <v>5056</v>
      </c>
    </row>
    <row r="51" spans="1:10" ht="26.45" thickBot="1">
      <c r="A51" s="155" t="s">
        <v>830</v>
      </c>
      <c r="B51" s="156" t="s">
        <v>2916</v>
      </c>
      <c r="C51" s="155" t="s">
        <v>2918</v>
      </c>
      <c r="D51" s="159" t="s">
        <v>2918</v>
      </c>
      <c r="E51" s="160">
        <v>1</v>
      </c>
      <c r="G51" s="170" t="s">
        <v>5026</v>
      </c>
      <c r="H51" s="170" t="s">
        <v>5027</v>
      </c>
      <c r="I51" s="170" t="s">
        <v>2918</v>
      </c>
      <c r="J51" s="170" t="s">
        <v>5032</v>
      </c>
    </row>
    <row r="52" spans="1:10" ht="26.45" thickBot="1">
      <c r="A52" s="155" t="s">
        <v>830</v>
      </c>
      <c r="B52" s="156" t="s">
        <v>2916</v>
      </c>
      <c r="C52" s="155" t="s">
        <v>5074</v>
      </c>
      <c r="D52" s="159" t="s">
        <v>2919</v>
      </c>
      <c r="E52" s="161" t="s">
        <v>1047</v>
      </c>
      <c r="G52" s="170" t="s">
        <v>5047</v>
      </c>
      <c r="H52" s="170" t="s">
        <v>5048</v>
      </c>
      <c r="I52" s="170" t="s">
        <v>2919</v>
      </c>
      <c r="J52" s="170" t="s">
        <v>5068</v>
      </c>
    </row>
    <row r="53" spans="1:10" ht="26.45" thickBot="1">
      <c r="A53" s="155" t="s">
        <v>830</v>
      </c>
      <c r="B53" s="156" t="s">
        <v>2916</v>
      </c>
      <c r="C53" s="155" t="s">
        <v>5073</v>
      </c>
      <c r="D53" s="159" t="s">
        <v>2920</v>
      </c>
      <c r="E53" s="160">
        <v>1</v>
      </c>
      <c r="G53" s="170" t="s">
        <v>5075</v>
      </c>
      <c r="H53" s="170" t="s">
        <v>5076</v>
      </c>
      <c r="I53" s="170" t="s">
        <v>2920</v>
      </c>
      <c r="J53" s="170" t="s">
        <v>5031</v>
      </c>
    </row>
    <row r="54" spans="1:10" ht="26.45" thickBot="1">
      <c r="A54" s="155" t="s">
        <v>830</v>
      </c>
      <c r="B54" s="156" t="s">
        <v>2916</v>
      </c>
      <c r="C54" s="155" t="s">
        <v>5077</v>
      </c>
      <c r="D54" s="159" t="s">
        <v>2921</v>
      </c>
      <c r="E54" s="161" t="s">
        <v>1060</v>
      </c>
      <c r="G54" s="170" t="s">
        <v>5075</v>
      </c>
      <c r="H54" s="170" t="s">
        <v>5076</v>
      </c>
      <c r="I54" s="170" t="s">
        <v>2921</v>
      </c>
      <c r="J54" s="170" t="s">
        <v>5068</v>
      </c>
    </row>
    <row r="55" spans="1:10" ht="26.45" thickBot="1">
      <c r="A55" s="155" t="s">
        <v>830</v>
      </c>
      <c r="B55" s="156" t="s">
        <v>2916</v>
      </c>
      <c r="C55" s="155" t="s">
        <v>5073</v>
      </c>
      <c r="D55" s="159" t="s">
        <v>2922</v>
      </c>
      <c r="E55" s="160">
        <v>-0.5</v>
      </c>
      <c r="G55" s="170" t="s">
        <v>5075</v>
      </c>
      <c r="H55" s="170" t="s">
        <v>5076</v>
      </c>
      <c r="I55" s="170" t="s">
        <v>2922</v>
      </c>
      <c r="J55" s="170" t="s">
        <v>5058</v>
      </c>
    </row>
    <row r="56" spans="1:10" ht="26.45" thickBot="1">
      <c r="A56" s="155" t="s">
        <v>830</v>
      </c>
      <c r="B56" s="156" t="s">
        <v>2916</v>
      </c>
      <c r="C56" s="155" t="s">
        <v>5078</v>
      </c>
      <c r="D56" s="159" t="s">
        <v>2923</v>
      </c>
      <c r="E56" s="160">
        <v>-0.6</v>
      </c>
      <c r="G56" s="170" t="s">
        <v>5079</v>
      </c>
      <c r="H56" s="170" t="s">
        <v>5080</v>
      </c>
      <c r="I56" s="170" t="s">
        <v>2923</v>
      </c>
      <c r="J56" s="170" t="s">
        <v>5058</v>
      </c>
    </row>
    <row r="57" spans="1:10" ht="26.45" thickBot="1">
      <c r="A57" s="155" t="s">
        <v>830</v>
      </c>
      <c r="B57" s="156" t="s">
        <v>2916</v>
      </c>
      <c r="C57" s="155" t="s">
        <v>5073</v>
      </c>
      <c r="D57" s="159" t="s">
        <v>2924</v>
      </c>
      <c r="E57" s="161" t="s">
        <v>1060</v>
      </c>
      <c r="G57" s="170" t="s">
        <v>5029</v>
      </c>
      <c r="H57" s="170" t="s">
        <v>5030</v>
      </c>
      <c r="I57" s="170" t="s">
        <v>2924</v>
      </c>
      <c r="J57" s="170" t="s">
        <v>5068</v>
      </c>
    </row>
    <row r="58" spans="1:10" ht="26.45" thickBot="1">
      <c r="A58" s="155" t="s">
        <v>830</v>
      </c>
      <c r="B58" s="156" t="s">
        <v>2916</v>
      </c>
      <c r="C58" s="155" t="s">
        <v>1859</v>
      </c>
      <c r="D58" s="159" t="s">
        <v>1857</v>
      </c>
      <c r="E58" s="161" t="s">
        <v>1074</v>
      </c>
      <c r="G58" s="170" t="s">
        <v>5026</v>
      </c>
      <c r="H58" s="170" t="s">
        <v>5027</v>
      </c>
      <c r="I58" s="170" t="s">
        <v>1857</v>
      </c>
      <c r="J58" s="170" t="s">
        <v>5028</v>
      </c>
    </row>
    <row r="59" spans="1:10" ht="13.5" thickBot="1">
      <c r="B59" s="156" t="s">
        <v>3117</v>
      </c>
      <c r="C59" s="157" t="s">
        <v>2265</v>
      </c>
      <c r="D59" s="157" t="s">
        <v>143</v>
      </c>
      <c r="E59" s="157" t="s">
        <v>3118</v>
      </c>
      <c r="G59" s="170"/>
      <c r="H59" s="170"/>
      <c r="I59" s="170"/>
      <c r="J59" s="170"/>
    </row>
    <row r="60" spans="1:10" ht="26.45" thickBot="1">
      <c r="A60" s="155" t="s">
        <v>836</v>
      </c>
      <c r="B60" s="156" t="s">
        <v>3117</v>
      </c>
      <c r="C60" s="159" t="s">
        <v>3119</v>
      </c>
      <c r="D60" s="159" t="s">
        <v>3120</v>
      </c>
      <c r="E60" s="159" t="s">
        <v>2056</v>
      </c>
      <c r="G60" s="170" t="s">
        <v>5039</v>
      </c>
      <c r="H60" s="170" t="s">
        <v>5040</v>
      </c>
      <c r="I60" s="170" t="s">
        <v>3120</v>
      </c>
      <c r="J60" s="170" t="s">
        <v>5055</v>
      </c>
    </row>
    <row r="61" spans="1:10" ht="26.45" thickBot="1">
      <c r="A61" s="155" t="s">
        <v>836</v>
      </c>
      <c r="B61" s="156" t="s">
        <v>3117</v>
      </c>
      <c r="C61" s="159" t="s">
        <v>3121</v>
      </c>
      <c r="D61" s="159" t="s">
        <v>3122</v>
      </c>
      <c r="E61" s="159" t="s">
        <v>2059</v>
      </c>
      <c r="G61" s="170" t="s">
        <v>5039</v>
      </c>
      <c r="H61" s="170" t="s">
        <v>5040</v>
      </c>
      <c r="I61" s="170" t="s">
        <v>3122</v>
      </c>
      <c r="J61" s="170" t="s">
        <v>5081</v>
      </c>
    </row>
    <row r="62" spans="1:10" ht="26.45" thickBot="1">
      <c r="A62" s="155" t="s">
        <v>836</v>
      </c>
      <c r="B62" s="156" t="s">
        <v>3117</v>
      </c>
      <c r="C62" s="159" t="s">
        <v>1443</v>
      </c>
      <c r="D62" s="159" t="s">
        <v>1444</v>
      </c>
      <c r="E62" s="159" t="s">
        <v>1074</v>
      </c>
      <c r="G62" s="170" t="s">
        <v>5039</v>
      </c>
      <c r="H62" s="170" t="s">
        <v>5040</v>
      </c>
      <c r="I62" s="170" t="s">
        <v>1444</v>
      </c>
      <c r="J62" s="170" t="s">
        <v>5062</v>
      </c>
    </row>
    <row r="63" spans="1:10" ht="26.45" thickBot="1">
      <c r="A63" s="155" t="s">
        <v>836</v>
      </c>
      <c r="B63" s="156" t="s">
        <v>3117</v>
      </c>
      <c r="C63" s="159" t="s">
        <v>469</v>
      </c>
      <c r="D63" s="159" t="s">
        <v>3123</v>
      </c>
      <c r="E63" s="167">
        <v>-0.25</v>
      </c>
      <c r="G63" s="170" t="s">
        <v>5037</v>
      </c>
      <c r="H63" s="170" t="s">
        <v>5038</v>
      </c>
      <c r="I63" s="170" t="s">
        <v>3123</v>
      </c>
      <c r="J63" s="170" t="s">
        <v>5056</v>
      </c>
    </row>
    <row r="64" spans="1:10" ht="26.45" thickBot="1">
      <c r="A64" s="155" t="s">
        <v>836</v>
      </c>
      <c r="B64" s="156" t="s">
        <v>3117</v>
      </c>
      <c r="C64" s="159" t="s">
        <v>1420</v>
      </c>
      <c r="D64" s="159" t="s">
        <v>3124</v>
      </c>
      <c r="E64" s="159" t="s">
        <v>3125</v>
      </c>
      <c r="G64" s="170" t="s">
        <v>5035</v>
      </c>
      <c r="H64" s="170" t="s">
        <v>5036</v>
      </c>
      <c r="I64" s="170" t="s">
        <v>3124</v>
      </c>
      <c r="J64" s="170" t="s">
        <v>5058</v>
      </c>
    </row>
    <row r="65" spans="1:10" ht="26.45" thickBot="1">
      <c r="A65" s="155" t="s">
        <v>836</v>
      </c>
      <c r="B65" s="156" t="s">
        <v>3117</v>
      </c>
      <c r="C65" s="159" t="s">
        <v>3126</v>
      </c>
      <c r="D65" s="159" t="s">
        <v>3127</v>
      </c>
      <c r="E65" s="159" t="s">
        <v>1074</v>
      </c>
      <c r="G65" s="170" t="s">
        <v>5039</v>
      </c>
      <c r="H65" s="170" t="s">
        <v>5040</v>
      </c>
      <c r="I65" s="170" t="s">
        <v>3127</v>
      </c>
      <c r="J65" s="170" t="s">
        <v>5028</v>
      </c>
    </row>
    <row r="66" spans="1:10" ht="26.45" thickBot="1">
      <c r="A66" s="155" t="s">
        <v>836</v>
      </c>
      <c r="B66" s="156" t="s">
        <v>3117</v>
      </c>
      <c r="C66" s="159" t="s">
        <v>2311</v>
      </c>
      <c r="D66" s="159" t="s">
        <v>3129</v>
      </c>
      <c r="E66" s="159" t="s">
        <v>1074</v>
      </c>
      <c r="G66" s="170" t="s">
        <v>5037</v>
      </c>
      <c r="H66" s="170" t="s">
        <v>5038</v>
      </c>
      <c r="I66" s="170" t="s">
        <v>3129</v>
      </c>
      <c r="J66" s="170" t="s">
        <v>5033</v>
      </c>
    </row>
    <row r="67" spans="1:10" ht="26.45" thickBot="1">
      <c r="A67" s="155" t="s">
        <v>836</v>
      </c>
      <c r="B67" s="156" t="s">
        <v>3117</v>
      </c>
      <c r="C67" s="159" t="s">
        <v>3130</v>
      </c>
      <c r="D67" s="159" t="s">
        <v>3131</v>
      </c>
      <c r="E67" s="159" t="s">
        <v>1060</v>
      </c>
      <c r="G67" s="170" t="s">
        <v>5039</v>
      </c>
      <c r="H67" s="170" t="s">
        <v>5040</v>
      </c>
      <c r="I67" s="170" t="s">
        <v>3131</v>
      </c>
      <c r="J67" s="170" t="s">
        <v>5068</v>
      </c>
    </row>
    <row r="68" spans="1:10" ht="26.45" thickBot="1">
      <c r="A68" s="155" t="s">
        <v>836</v>
      </c>
      <c r="B68" s="156" t="s">
        <v>3117</v>
      </c>
      <c r="C68" s="159" t="s">
        <v>3640</v>
      </c>
      <c r="D68" s="159" t="s">
        <v>3133</v>
      </c>
      <c r="E68" s="159" t="s">
        <v>1047</v>
      </c>
      <c r="G68" s="170" t="s">
        <v>5039</v>
      </c>
      <c r="H68" s="170" t="s">
        <v>5040</v>
      </c>
      <c r="I68" s="170" t="s">
        <v>3133</v>
      </c>
      <c r="J68" s="170" t="s">
        <v>5025</v>
      </c>
    </row>
    <row r="69" spans="1:10" ht="26.45" thickBot="1">
      <c r="A69" s="155" t="s">
        <v>836</v>
      </c>
      <c r="B69" s="156" t="s">
        <v>3117</v>
      </c>
      <c r="C69" s="159" t="s">
        <v>5082</v>
      </c>
      <c r="D69" s="159" t="s">
        <v>3134</v>
      </c>
      <c r="E69" s="159" t="s">
        <v>3135</v>
      </c>
      <c r="G69" s="170" t="s">
        <v>5026</v>
      </c>
      <c r="H69" s="170" t="s">
        <v>5027</v>
      </c>
      <c r="I69" s="170" t="s">
        <v>3134</v>
      </c>
      <c r="J69" s="170" t="s">
        <v>5031</v>
      </c>
    </row>
    <row r="70" spans="1:10" ht="13.5" thickBot="1">
      <c r="A70" s="155" t="s">
        <v>836</v>
      </c>
      <c r="B70" s="156" t="s">
        <v>3204</v>
      </c>
      <c r="C70" s="157" t="s">
        <v>2265</v>
      </c>
      <c r="D70" s="157" t="s">
        <v>143</v>
      </c>
      <c r="E70" s="157" t="s">
        <v>3205</v>
      </c>
      <c r="G70" s="170"/>
      <c r="H70" s="170"/>
      <c r="I70" s="170"/>
      <c r="J70" s="170"/>
    </row>
    <row r="71" spans="1:10" ht="26.45" thickBot="1">
      <c r="A71" s="155" t="s">
        <v>836</v>
      </c>
      <c r="B71" s="156" t="s">
        <v>3204</v>
      </c>
      <c r="C71" s="159" t="s">
        <v>1420</v>
      </c>
      <c r="D71" s="159" t="s">
        <v>3206</v>
      </c>
      <c r="E71" s="167">
        <v>-0.2</v>
      </c>
      <c r="G71" s="170" t="s">
        <v>5037</v>
      </c>
      <c r="H71" s="170" t="s">
        <v>5038</v>
      </c>
      <c r="I71" s="170" t="s">
        <v>3206</v>
      </c>
      <c r="J71" s="170" t="s">
        <v>5056</v>
      </c>
    </row>
    <row r="72" spans="1:10" ht="26.45" thickBot="1">
      <c r="A72" s="155" t="s">
        <v>836</v>
      </c>
      <c r="B72" s="156" t="s">
        <v>3204</v>
      </c>
      <c r="C72" s="159" t="s">
        <v>5070</v>
      </c>
      <c r="D72" s="159" t="s">
        <v>1899</v>
      </c>
      <c r="E72" s="167">
        <v>0.15</v>
      </c>
      <c r="G72" s="170" t="s">
        <v>5039</v>
      </c>
      <c r="H72" s="170" t="s">
        <v>5040</v>
      </c>
      <c r="I72" s="170" t="s">
        <v>1899</v>
      </c>
      <c r="J72" s="170" t="s">
        <v>5071</v>
      </c>
    </row>
    <row r="73" spans="1:10" ht="26.45" thickBot="1">
      <c r="A73" s="155" t="s">
        <v>836</v>
      </c>
      <c r="B73" s="156" t="s">
        <v>3204</v>
      </c>
      <c r="C73" s="159" t="s">
        <v>1644</v>
      </c>
      <c r="D73" s="159" t="s">
        <v>1699</v>
      </c>
      <c r="E73" s="167">
        <v>0.1</v>
      </c>
      <c r="G73" s="170" t="s">
        <v>5026</v>
      </c>
      <c r="H73" s="170" t="s">
        <v>5027</v>
      </c>
      <c r="I73" s="170" t="s">
        <v>1699</v>
      </c>
      <c r="J73" s="170" t="s">
        <v>5064</v>
      </c>
    </row>
    <row r="74" spans="1:10" ht="26.45" thickBot="1">
      <c r="A74" s="155" t="s">
        <v>836</v>
      </c>
      <c r="B74" s="156" t="s">
        <v>3204</v>
      </c>
      <c r="C74" s="159" t="s">
        <v>1490</v>
      </c>
      <c r="D74" s="159" t="s">
        <v>3209</v>
      </c>
      <c r="E74" s="167">
        <v>0.15</v>
      </c>
      <c r="G74" s="170" t="s">
        <v>5026</v>
      </c>
      <c r="H74" s="170" t="s">
        <v>5027</v>
      </c>
      <c r="I74" s="170" t="s">
        <v>3209</v>
      </c>
      <c r="J74" s="170" t="s">
        <v>5028</v>
      </c>
    </row>
    <row r="75" spans="1:10" ht="26.45" thickBot="1">
      <c r="A75" s="155" t="s">
        <v>836</v>
      </c>
      <c r="B75" s="156" t="s">
        <v>3204</v>
      </c>
      <c r="C75" s="159" t="s">
        <v>2311</v>
      </c>
      <c r="D75" s="159" t="s">
        <v>3210</v>
      </c>
      <c r="E75" s="167">
        <v>-0.3</v>
      </c>
      <c r="G75" s="170" t="s">
        <v>5037</v>
      </c>
      <c r="H75" s="170" t="s">
        <v>5038</v>
      </c>
      <c r="I75" s="170" t="s">
        <v>3210</v>
      </c>
      <c r="J75" s="170" t="s">
        <v>5056</v>
      </c>
    </row>
    <row r="76" spans="1:10" ht="26.45" thickBot="1">
      <c r="A76" s="155" t="s">
        <v>836</v>
      </c>
      <c r="B76" s="156" t="s">
        <v>3204</v>
      </c>
      <c r="C76" s="159" t="s">
        <v>3211</v>
      </c>
      <c r="D76" s="159" t="s">
        <v>3212</v>
      </c>
      <c r="E76" s="167">
        <v>-0.2</v>
      </c>
      <c r="G76" s="170" t="s">
        <v>5035</v>
      </c>
      <c r="H76" s="170" t="s">
        <v>5036</v>
      </c>
      <c r="I76" s="170" t="s">
        <v>3212</v>
      </c>
      <c r="J76" s="170" t="s">
        <v>5056</v>
      </c>
    </row>
    <row r="77" spans="1:10" ht="26.45" thickBot="1">
      <c r="A77" s="155" t="s">
        <v>836</v>
      </c>
      <c r="B77" s="156" t="s">
        <v>3204</v>
      </c>
      <c r="C77" s="159" t="s">
        <v>510</v>
      </c>
      <c r="D77" s="159" t="s">
        <v>3213</v>
      </c>
      <c r="E77" s="159" t="s">
        <v>1052</v>
      </c>
      <c r="G77" s="170" t="s">
        <v>5026</v>
      </c>
      <c r="H77" s="170" t="s">
        <v>5027</v>
      </c>
      <c r="I77" s="170" t="s">
        <v>3213</v>
      </c>
      <c r="J77" s="170" t="s">
        <v>5032</v>
      </c>
    </row>
    <row r="78" spans="1:10" ht="26.45" thickBot="1">
      <c r="A78" s="155" t="s">
        <v>836</v>
      </c>
      <c r="B78" s="156" t="s">
        <v>3204</v>
      </c>
      <c r="C78" s="159" t="s">
        <v>5083</v>
      </c>
      <c r="D78" s="159" t="s">
        <v>3215</v>
      </c>
      <c r="E78" s="159" t="s">
        <v>2023</v>
      </c>
      <c r="G78" s="170" t="s">
        <v>5053</v>
      </c>
      <c r="H78" s="170" t="s">
        <v>5054</v>
      </c>
      <c r="I78" s="170" t="s">
        <v>3215</v>
      </c>
      <c r="J78" s="170" t="s">
        <v>5055</v>
      </c>
    </row>
    <row r="79" spans="1:10" ht="26.45" thickBot="1">
      <c r="A79" s="155" t="s">
        <v>836</v>
      </c>
      <c r="B79" s="156" t="s">
        <v>3204</v>
      </c>
      <c r="C79" s="159" t="s">
        <v>1426</v>
      </c>
      <c r="D79" s="159" t="s">
        <v>3216</v>
      </c>
      <c r="E79" s="167">
        <v>-0.2</v>
      </c>
      <c r="G79" s="170" t="s">
        <v>5047</v>
      </c>
      <c r="H79" s="170" t="s">
        <v>5048</v>
      </c>
      <c r="I79" s="170" t="s">
        <v>3216</v>
      </c>
      <c r="J79" s="170" t="s">
        <v>5058</v>
      </c>
    </row>
    <row r="80" spans="1:10" ht="26.45" thickBot="1">
      <c r="A80" s="155" t="s">
        <v>836</v>
      </c>
      <c r="B80" s="156" t="s">
        <v>3204</v>
      </c>
      <c r="C80" s="159" t="s">
        <v>5084</v>
      </c>
      <c r="D80" s="159" t="s">
        <v>3218</v>
      </c>
      <c r="E80" s="167">
        <v>0.1</v>
      </c>
      <c r="G80" s="170" t="s">
        <v>5039</v>
      </c>
      <c r="H80" s="170" t="s">
        <v>5040</v>
      </c>
      <c r="I80" s="170" t="s">
        <v>3218</v>
      </c>
      <c r="J80" s="170" t="s">
        <v>5062</v>
      </c>
    </row>
    <row r="81" spans="1:10" ht="13.5" thickBot="1">
      <c r="A81" s="155" t="s">
        <v>836</v>
      </c>
      <c r="B81" s="156" t="s">
        <v>3285</v>
      </c>
      <c r="C81" s="157" t="s">
        <v>2265</v>
      </c>
      <c r="D81" s="157" t="s">
        <v>143</v>
      </c>
      <c r="E81" s="157" t="s">
        <v>3118</v>
      </c>
      <c r="G81" s="170"/>
      <c r="H81" s="170"/>
      <c r="I81" s="170"/>
      <c r="J81" s="170"/>
    </row>
    <row r="82" spans="1:10" ht="26.45" thickBot="1">
      <c r="A82" s="155" t="s">
        <v>836</v>
      </c>
      <c r="B82" s="156" t="s">
        <v>3285</v>
      </c>
      <c r="C82" s="159" t="s">
        <v>3286</v>
      </c>
      <c r="D82" s="159" t="s">
        <v>1697</v>
      </c>
      <c r="E82" s="159" t="s">
        <v>3287</v>
      </c>
      <c r="G82" s="170" t="s">
        <v>5037</v>
      </c>
      <c r="H82" s="170" t="s">
        <v>5038</v>
      </c>
      <c r="I82" s="170" t="s">
        <v>1697</v>
      </c>
      <c r="J82" s="170" t="s">
        <v>5031</v>
      </c>
    </row>
    <row r="83" spans="1:10" ht="26.45" thickBot="1">
      <c r="A83" s="155" t="s">
        <v>836</v>
      </c>
      <c r="B83" s="156" t="s">
        <v>3285</v>
      </c>
      <c r="C83" s="159" t="s">
        <v>3288</v>
      </c>
      <c r="D83" s="159" t="s">
        <v>3289</v>
      </c>
      <c r="E83" s="159" t="s">
        <v>1060</v>
      </c>
      <c r="G83" s="170" t="s">
        <v>5026</v>
      </c>
      <c r="H83" s="170" t="s">
        <v>5027</v>
      </c>
      <c r="I83" s="170" t="s">
        <v>3289</v>
      </c>
      <c r="J83" s="170" t="s">
        <v>5028</v>
      </c>
    </row>
    <row r="84" spans="1:10" ht="26.45" thickBot="1">
      <c r="A84" s="155" t="s">
        <v>836</v>
      </c>
      <c r="B84" s="156" t="s">
        <v>3285</v>
      </c>
      <c r="C84" s="159" t="s">
        <v>5085</v>
      </c>
      <c r="D84" s="159" t="s">
        <v>3290</v>
      </c>
      <c r="E84" s="167">
        <v>-0.6</v>
      </c>
      <c r="G84" s="170" t="s">
        <v>5026</v>
      </c>
      <c r="H84" s="170" t="s">
        <v>5027</v>
      </c>
      <c r="I84" s="170" t="s">
        <v>3290</v>
      </c>
      <c r="J84" s="170" t="s">
        <v>5058</v>
      </c>
    </row>
    <row r="85" spans="1:10" ht="26.45" thickBot="1">
      <c r="A85" s="155" t="s">
        <v>836</v>
      </c>
      <c r="B85" s="156" t="s">
        <v>3285</v>
      </c>
      <c r="C85" s="159" t="s">
        <v>3291</v>
      </c>
      <c r="D85" s="159" t="s">
        <v>3292</v>
      </c>
      <c r="E85" s="167">
        <v>-0.3</v>
      </c>
      <c r="G85" s="170" t="s">
        <v>5026</v>
      </c>
      <c r="H85" s="170" t="s">
        <v>5027</v>
      </c>
      <c r="I85" s="170" t="s">
        <v>3292</v>
      </c>
      <c r="J85" s="170" t="s">
        <v>5058</v>
      </c>
    </row>
    <row r="86" spans="1:10" ht="26.45" thickBot="1">
      <c r="A86" s="155" t="s">
        <v>836</v>
      </c>
      <c r="B86" s="156" t="s">
        <v>3285</v>
      </c>
      <c r="C86" s="159" t="s">
        <v>2831</v>
      </c>
      <c r="D86" s="159" t="s">
        <v>3293</v>
      </c>
      <c r="E86" s="159" t="s">
        <v>1060</v>
      </c>
      <c r="G86" s="170" t="s">
        <v>5037</v>
      </c>
      <c r="H86" s="170" t="s">
        <v>5038</v>
      </c>
      <c r="I86" s="170" t="s">
        <v>3293</v>
      </c>
      <c r="J86" s="170" t="s">
        <v>5031</v>
      </c>
    </row>
    <row r="87" spans="1:10" ht="26.45" thickBot="1">
      <c r="A87" s="155" t="s">
        <v>836</v>
      </c>
      <c r="B87" s="156" t="s">
        <v>3285</v>
      </c>
      <c r="C87" s="159" t="s">
        <v>3266</v>
      </c>
      <c r="D87" s="159" t="s">
        <v>3295</v>
      </c>
      <c r="E87" s="159" t="s">
        <v>1074</v>
      </c>
      <c r="G87" s="170" t="s">
        <v>5026</v>
      </c>
      <c r="H87" s="170" t="s">
        <v>5027</v>
      </c>
      <c r="I87" s="170" t="s">
        <v>3295</v>
      </c>
      <c r="J87" s="170" t="s">
        <v>5028</v>
      </c>
    </row>
    <row r="88" spans="1:10" ht="26.45" thickBot="1">
      <c r="A88" s="155" t="s">
        <v>836</v>
      </c>
      <c r="B88" s="156" t="s">
        <v>3285</v>
      </c>
      <c r="C88" s="159" t="s">
        <v>5086</v>
      </c>
      <c r="D88" s="159" t="s">
        <v>3297</v>
      </c>
      <c r="E88" s="159" t="s">
        <v>1074</v>
      </c>
      <c r="G88" s="170" t="s">
        <v>5035</v>
      </c>
      <c r="H88" s="170" t="s">
        <v>5036</v>
      </c>
      <c r="I88" s="170" t="s">
        <v>3297</v>
      </c>
      <c r="J88" s="170" t="s">
        <v>5033</v>
      </c>
    </row>
    <row r="89" spans="1:10" ht="26.45" thickBot="1">
      <c r="A89" s="155" t="s">
        <v>836</v>
      </c>
      <c r="B89" s="156" t="s">
        <v>3285</v>
      </c>
      <c r="C89" s="159" t="s">
        <v>5087</v>
      </c>
      <c r="D89" s="159" t="s">
        <v>3299</v>
      </c>
      <c r="E89" s="159" t="s">
        <v>1047</v>
      </c>
      <c r="G89" s="170" t="s">
        <v>5023</v>
      </c>
      <c r="H89" s="170" t="s">
        <v>5024</v>
      </c>
      <c r="I89" s="170" t="s">
        <v>3299</v>
      </c>
      <c r="J89" s="170" t="s">
        <v>5025</v>
      </c>
    </row>
    <row r="90" spans="1:10" ht="26.45" thickBot="1">
      <c r="A90" s="155" t="s">
        <v>836</v>
      </c>
      <c r="B90" s="156" t="s">
        <v>3285</v>
      </c>
      <c r="C90" s="159" t="s">
        <v>3112</v>
      </c>
      <c r="D90" s="159" t="s">
        <v>3300</v>
      </c>
      <c r="E90" s="167">
        <v>1</v>
      </c>
      <c r="G90" s="170" t="s">
        <v>5026</v>
      </c>
      <c r="H90" s="170" t="s">
        <v>5027</v>
      </c>
      <c r="I90" s="170" t="s">
        <v>3300</v>
      </c>
      <c r="J90" s="170" t="s">
        <v>5068</v>
      </c>
    </row>
    <row r="91" spans="1:10" ht="26.45" thickBot="1">
      <c r="A91" s="155" t="s">
        <v>836</v>
      </c>
      <c r="B91" s="156" t="s">
        <v>3285</v>
      </c>
      <c r="C91" s="159" t="s">
        <v>1679</v>
      </c>
      <c r="D91" s="159" t="s">
        <v>3302</v>
      </c>
      <c r="E91" s="167">
        <v>-0.25</v>
      </c>
      <c r="G91" s="170" t="s">
        <v>5026</v>
      </c>
      <c r="H91" s="170" t="s">
        <v>5027</v>
      </c>
      <c r="I91" s="170" t="s">
        <v>3302</v>
      </c>
      <c r="J91" s="170" t="s">
        <v>5058</v>
      </c>
    </row>
    <row r="92" spans="1:10" ht="13.5" thickBot="1">
      <c r="B92" s="156" t="s">
        <v>3553</v>
      </c>
      <c r="C92" s="155" t="s">
        <v>2265</v>
      </c>
      <c r="D92" s="157" t="s">
        <v>143</v>
      </c>
      <c r="E92" s="157" t="s">
        <v>2266</v>
      </c>
      <c r="G92" s="170"/>
      <c r="H92" s="170"/>
      <c r="I92" s="170"/>
      <c r="J92" s="170"/>
    </row>
    <row r="93" spans="1:10" ht="26.45" thickBot="1">
      <c r="A93" s="155" t="s">
        <v>842</v>
      </c>
      <c r="B93" s="156" t="s">
        <v>3553</v>
      </c>
      <c r="C93" s="155" t="s">
        <v>1859</v>
      </c>
      <c r="D93" s="159" t="s">
        <v>1857</v>
      </c>
      <c r="E93" s="159" t="s">
        <v>1074</v>
      </c>
      <c r="G93" s="170" t="s">
        <v>5026</v>
      </c>
      <c r="H93" s="170" t="s">
        <v>5027</v>
      </c>
      <c r="I93" s="170" t="s">
        <v>1857</v>
      </c>
      <c r="J93" s="170" t="s">
        <v>5028</v>
      </c>
    </row>
    <row r="94" spans="1:10" ht="26.45" thickBot="1">
      <c r="A94" s="155" t="s">
        <v>842</v>
      </c>
      <c r="B94" s="156" t="s">
        <v>3553</v>
      </c>
      <c r="C94" s="155" t="s">
        <v>5034</v>
      </c>
      <c r="D94" s="159" t="s">
        <v>3554</v>
      </c>
      <c r="E94" s="159" t="s">
        <v>3555</v>
      </c>
      <c r="G94" s="170" t="s">
        <v>5035</v>
      </c>
      <c r="H94" s="170" t="s">
        <v>5036</v>
      </c>
      <c r="I94" s="170" t="s">
        <v>3554</v>
      </c>
      <c r="J94" s="170" t="s">
        <v>5088</v>
      </c>
    </row>
    <row r="95" spans="1:10" ht="26.45" thickBot="1">
      <c r="A95" s="155" t="s">
        <v>842</v>
      </c>
      <c r="B95" s="156" t="s">
        <v>3553</v>
      </c>
      <c r="C95" s="155" t="s">
        <v>5089</v>
      </c>
      <c r="D95" s="159" t="s">
        <v>3556</v>
      </c>
      <c r="E95" s="167">
        <v>-0.2</v>
      </c>
      <c r="G95" s="170" t="s">
        <v>5035</v>
      </c>
      <c r="H95" s="170" t="s">
        <v>5036</v>
      </c>
      <c r="I95" s="170" t="s">
        <v>3556</v>
      </c>
      <c r="J95" s="170" t="s">
        <v>5058</v>
      </c>
    </row>
    <row r="96" spans="1:10" ht="26.45" thickBot="1">
      <c r="A96" s="155" t="s">
        <v>842</v>
      </c>
      <c r="B96" s="156" t="s">
        <v>3553</v>
      </c>
      <c r="C96" s="155" t="s">
        <v>5090</v>
      </c>
      <c r="D96" s="159" t="s">
        <v>3557</v>
      </c>
      <c r="E96" s="167">
        <v>-0.3</v>
      </c>
      <c r="G96" s="170" t="s">
        <v>5035</v>
      </c>
      <c r="H96" s="170" t="s">
        <v>5036</v>
      </c>
      <c r="I96" s="170" t="s">
        <v>3557</v>
      </c>
      <c r="J96" s="170" t="s">
        <v>5058</v>
      </c>
    </row>
    <row r="97" spans="1:10" ht="26.45" thickBot="1">
      <c r="A97" s="155" t="s">
        <v>842</v>
      </c>
      <c r="B97" s="156" t="s">
        <v>3553</v>
      </c>
      <c r="C97" s="155" t="s">
        <v>5034</v>
      </c>
      <c r="D97" s="159" t="s">
        <v>1445</v>
      </c>
      <c r="E97" s="159" t="s">
        <v>1060</v>
      </c>
      <c r="G97" s="170" t="s">
        <v>5035</v>
      </c>
      <c r="H97" s="170" t="s">
        <v>5036</v>
      </c>
      <c r="I97" s="170" t="s">
        <v>1445</v>
      </c>
      <c r="J97" s="170" t="s">
        <v>5032</v>
      </c>
    </row>
    <row r="98" spans="1:10" ht="26.45" thickBot="1">
      <c r="A98" s="155" t="s">
        <v>842</v>
      </c>
      <c r="B98" s="156" t="s">
        <v>3553</v>
      </c>
      <c r="C98" s="155" t="s">
        <v>5034</v>
      </c>
      <c r="D98" s="159" t="s">
        <v>3558</v>
      </c>
      <c r="E98" s="159" t="s">
        <v>1074</v>
      </c>
      <c r="G98" s="170" t="s">
        <v>5035</v>
      </c>
      <c r="H98" s="170" t="s">
        <v>5036</v>
      </c>
      <c r="I98" s="170" t="s">
        <v>3558</v>
      </c>
      <c r="J98" s="170" t="s">
        <v>5091</v>
      </c>
    </row>
    <row r="99" spans="1:10" ht="26.45" thickBot="1">
      <c r="A99" s="155" t="s">
        <v>842</v>
      </c>
      <c r="B99" s="156" t="s">
        <v>3553</v>
      </c>
      <c r="C99" s="155" t="s">
        <v>5092</v>
      </c>
      <c r="D99" s="159" t="s">
        <v>3559</v>
      </c>
      <c r="E99" s="159" t="s">
        <v>1074</v>
      </c>
      <c r="G99" s="170" t="s">
        <v>5026</v>
      </c>
      <c r="H99" s="170" t="s">
        <v>5027</v>
      </c>
      <c r="I99" s="170" t="s">
        <v>3559</v>
      </c>
      <c r="J99" s="170" t="s">
        <v>5028</v>
      </c>
    </row>
    <row r="100" spans="1:10" ht="26.45" thickBot="1">
      <c r="A100" s="155" t="s">
        <v>842</v>
      </c>
      <c r="B100" s="156" t="s">
        <v>3553</v>
      </c>
      <c r="C100" s="155" t="s">
        <v>5093</v>
      </c>
      <c r="D100" s="159" t="s">
        <v>3560</v>
      </c>
      <c r="E100" s="167">
        <v>0.2</v>
      </c>
      <c r="G100" s="170" t="s">
        <v>5035</v>
      </c>
      <c r="H100" s="170" t="s">
        <v>5036</v>
      </c>
      <c r="I100" s="170" t="s">
        <v>3560</v>
      </c>
      <c r="J100" s="170" t="s">
        <v>5068</v>
      </c>
    </row>
    <row r="101" spans="1:10" ht="26.45" thickBot="1">
      <c r="A101" s="155" t="s">
        <v>842</v>
      </c>
      <c r="B101" s="156" t="s">
        <v>3553</v>
      </c>
      <c r="C101" s="155" t="s">
        <v>5084</v>
      </c>
      <c r="D101" s="159" t="s">
        <v>3561</v>
      </c>
      <c r="E101" s="167">
        <v>0.1</v>
      </c>
      <c r="G101" s="170" t="s">
        <v>5039</v>
      </c>
      <c r="H101" s="170" t="s">
        <v>5040</v>
      </c>
      <c r="I101" s="170" t="s">
        <v>3561</v>
      </c>
      <c r="J101" s="170" t="s">
        <v>5062</v>
      </c>
    </row>
    <row r="102" spans="1:10" ht="26.45" thickBot="1">
      <c r="A102" s="155" t="s">
        <v>842</v>
      </c>
      <c r="B102" s="156" t="s">
        <v>3553</v>
      </c>
      <c r="C102" s="155" t="s">
        <v>5094</v>
      </c>
      <c r="D102" s="159" t="s">
        <v>3562</v>
      </c>
      <c r="E102" s="167">
        <v>-0.4</v>
      </c>
      <c r="G102" s="170" t="s">
        <v>5029</v>
      </c>
      <c r="H102" s="170" t="s">
        <v>5030</v>
      </c>
      <c r="I102" s="170" t="s">
        <v>3562</v>
      </c>
      <c r="J102" s="170" t="s">
        <v>5056</v>
      </c>
    </row>
    <row r="103" spans="1:10" ht="13.5" thickBot="1">
      <c r="A103" s="155" t="s">
        <v>842</v>
      </c>
      <c r="B103" s="156" t="s">
        <v>3630</v>
      </c>
      <c r="C103" s="155" t="s">
        <v>2265</v>
      </c>
      <c r="D103" s="157" t="s">
        <v>143</v>
      </c>
      <c r="E103" s="157" t="s">
        <v>2266</v>
      </c>
      <c r="G103" s="170"/>
      <c r="H103" s="170"/>
      <c r="I103" s="170"/>
      <c r="J103" s="170"/>
    </row>
    <row r="104" spans="1:10" ht="26.45" thickBot="1">
      <c r="A104" s="155" t="s">
        <v>842</v>
      </c>
      <c r="B104" s="156" t="s">
        <v>3630</v>
      </c>
      <c r="C104" s="155" t="s">
        <v>2209</v>
      </c>
      <c r="D104" s="159" t="s">
        <v>3631</v>
      </c>
      <c r="E104" s="167">
        <v>-0.5</v>
      </c>
      <c r="G104" s="170" t="s">
        <v>5029</v>
      </c>
      <c r="H104" s="170" t="s">
        <v>5030</v>
      </c>
      <c r="I104" s="170" t="s">
        <v>3631</v>
      </c>
      <c r="J104" s="170" t="s">
        <v>5066</v>
      </c>
    </row>
    <row r="105" spans="1:10" ht="26.45" thickBot="1">
      <c r="A105" s="155" t="s">
        <v>842</v>
      </c>
      <c r="B105" s="156" t="s">
        <v>3630</v>
      </c>
      <c r="C105" s="155" t="s">
        <v>5095</v>
      </c>
      <c r="D105" s="159" t="s">
        <v>3632</v>
      </c>
      <c r="E105" s="167">
        <v>-0.75</v>
      </c>
      <c r="G105" s="170" t="s">
        <v>5096</v>
      </c>
      <c r="H105" s="170" t="s">
        <v>5097</v>
      </c>
      <c r="I105" s="170" t="s">
        <v>3632</v>
      </c>
      <c r="J105" s="170" t="s">
        <v>5098</v>
      </c>
    </row>
    <row r="106" spans="1:10" ht="26.45" thickBot="1">
      <c r="A106" s="155" t="s">
        <v>842</v>
      </c>
      <c r="B106" s="156" t="s">
        <v>3630</v>
      </c>
      <c r="C106" s="155" t="s">
        <v>2229</v>
      </c>
      <c r="D106" s="159" t="s">
        <v>3633</v>
      </c>
      <c r="E106" s="167">
        <v>-0.4</v>
      </c>
      <c r="G106" s="170" t="s">
        <v>5047</v>
      </c>
      <c r="H106" s="170" t="s">
        <v>5048</v>
      </c>
      <c r="I106" s="170" t="s">
        <v>3633</v>
      </c>
      <c r="J106" s="170" t="s">
        <v>5066</v>
      </c>
    </row>
    <row r="107" spans="1:10" ht="39.6" thickBot="1">
      <c r="A107" s="155" t="s">
        <v>842</v>
      </c>
      <c r="B107" s="156" t="s">
        <v>3630</v>
      </c>
      <c r="C107" s="155" t="s">
        <v>308</v>
      </c>
      <c r="D107" s="159" t="s">
        <v>3634</v>
      </c>
      <c r="E107" s="167">
        <v>-0.35</v>
      </c>
      <c r="G107" s="170" t="s">
        <v>5047</v>
      </c>
      <c r="H107" s="170" t="s">
        <v>5048</v>
      </c>
      <c r="I107" s="170" t="s">
        <v>3634</v>
      </c>
      <c r="J107" s="170" t="s">
        <v>5099</v>
      </c>
    </row>
    <row r="108" spans="1:10" ht="26.45" thickBot="1">
      <c r="A108" s="155" t="s">
        <v>842</v>
      </c>
      <c r="B108" s="156" t="s">
        <v>3630</v>
      </c>
      <c r="C108" s="155" t="s">
        <v>5041</v>
      </c>
      <c r="D108" s="159" t="s">
        <v>3635</v>
      </c>
      <c r="E108" s="167">
        <v>-0.3</v>
      </c>
      <c r="G108" s="170" t="s">
        <v>5043</v>
      </c>
      <c r="H108" s="170" t="s">
        <v>5044</v>
      </c>
      <c r="I108" s="170" t="s">
        <v>3635</v>
      </c>
      <c r="J108" s="170" t="s">
        <v>5066</v>
      </c>
    </row>
    <row r="109" spans="1:10" ht="26.45" thickBot="1">
      <c r="A109" s="155" t="s">
        <v>842</v>
      </c>
      <c r="B109" s="156" t="s">
        <v>3630</v>
      </c>
      <c r="C109" s="155" t="s">
        <v>1443</v>
      </c>
      <c r="D109" s="159" t="s">
        <v>3636</v>
      </c>
      <c r="E109" s="167">
        <v>-0.25</v>
      </c>
      <c r="G109" s="170" t="s">
        <v>5039</v>
      </c>
      <c r="H109" s="170" t="s">
        <v>5040</v>
      </c>
      <c r="I109" s="170" t="s">
        <v>3636</v>
      </c>
      <c r="J109" s="170" t="s">
        <v>5066</v>
      </c>
    </row>
    <row r="110" spans="1:10" ht="26.45" thickBot="1">
      <c r="A110" s="155" t="s">
        <v>842</v>
      </c>
      <c r="B110" s="156" t="s">
        <v>3630</v>
      </c>
      <c r="C110" s="155" t="s">
        <v>5100</v>
      </c>
      <c r="D110" s="159" t="s">
        <v>3637</v>
      </c>
      <c r="E110" s="159" t="s">
        <v>2162</v>
      </c>
      <c r="G110" s="170" t="s">
        <v>5026</v>
      </c>
      <c r="H110" s="170" t="s">
        <v>5027</v>
      </c>
      <c r="I110" s="170" t="s">
        <v>3637</v>
      </c>
      <c r="J110" s="170" t="s">
        <v>5028</v>
      </c>
    </row>
    <row r="111" spans="1:10" ht="26.45" thickBot="1">
      <c r="A111" s="155" t="s">
        <v>842</v>
      </c>
      <c r="B111" s="156" t="s">
        <v>3630</v>
      </c>
      <c r="C111" s="155" t="s">
        <v>5095</v>
      </c>
      <c r="D111" s="159" t="s">
        <v>3638</v>
      </c>
      <c r="E111" s="167">
        <v>-0.5</v>
      </c>
      <c r="G111" s="170" t="s">
        <v>5096</v>
      </c>
      <c r="H111" s="170" t="s">
        <v>5097</v>
      </c>
      <c r="I111" s="170" t="s">
        <v>3638</v>
      </c>
      <c r="J111" s="170" t="s">
        <v>5058</v>
      </c>
    </row>
    <row r="112" spans="1:10" ht="26.45" thickBot="1">
      <c r="A112" s="155" t="s">
        <v>842</v>
      </c>
      <c r="B112" s="156" t="s">
        <v>3630</v>
      </c>
      <c r="C112" s="155" t="s">
        <v>5101</v>
      </c>
      <c r="D112" s="159" t="s">
        <v>3639</v>
      </c>
      <c r="E112" s="159" t="s">
        <v>2023</v>
      </c>
      <c r="G112" s="170" t="s">
        <v>5059</v>
      </c>
      <c r="H112" s="170" t="s">
        <v>5060</v>
      </c>
      <c r="I112" s="170" t="s">
        <v>3639</v>
      </c>
      <c r="J112" s="170" t="s">
        <v>5068</v>
      </c>
    </row>
    <row r="113" spans="1:10" ht="26.45" thickBot="1">
      <c r="A113" s="155" t="s">
        <v>842</v>
      </c>
      <c r="B113" s="156" t="s">
        <v>3630</v>
      </c>
      <c r="C113" s="155" t="s">
        <v>3640</v>
      </c>
      <c r="D113" s="159" t="s">
        <v>3640</v>
      </c>
      <c r="E113" s="159" t="s">
        <v>2279</v>
      </c>
      <c r="G113" s="170" t="s">
        <v>5043</v>
      </c>
      <c r="H113" s="170" t="s">
        <v>5044</v>
      </c>
      <c r="I113" s="170" t="s">
        <v>3640</v>
      </c>
      <c r="J113" s="170" t="s">
        <v>5025</v>
      </c>
    </row>
    <row r="114" spans="1:10" ht="13.5" thickBot="1">
      <c r="A114" s="155" t="s">
        <v>842</v>
      </c>
      <c r="B114" s="156" t="s">
        <v>3703</v>
      </c>
      <c r="C114" s="155" t="s">
        <v>2265</v>
      </c>
      <c r="D114" s="158" t="s">
        <v>143</v>
      </c>
      <c r="E114" s="158" t="s">
        <v>2266</v>
      </c>
      <c r="G114" s="170"/>
      <c r="H114" s="170"/>
      <c r="I114" s="170"/>
      <c r="J114" s="170"/>
    </row>
    <row r="115" spans="1:10" ht="26.45" thickBot="1">
      <c r="A115" s="155" t="s">
        <v>842</v>
      </c>
      <c r="B115" s="156" t="s">
        <v>3703</v>
      </c>
      <c r="C115" s="155" t="s">
        <v>5072</v>
      </c>
      <c r="D115" s="161" t="s">
        <v>1488</v>
      </c>
      <c r="E115" s="161" t="s">
        <v>1047</v>
      </c>
      <c r="G115" s="170" t="s">
        <v>5026</v>
      </c>
      <c r="H115" s="170" t="s">
        <v>5027</v>
      </c>
      <c r="I115" s="170" t="s">
        <v>1488</v>
      </c>
      <c r="J115" s="170" t="s">
        <v>5028</v>
      </c>
    </row>
    <row r="116" spans="1:10" ht="26.45" thickBot="1">
      <c r="A116" s="155" t="s">
        <v>842</v>
      </c>
      <c r="B116" s="156" t="s">
        <v>3703</v>
      </c>
      <c r="C116" s="155" t="s">
        <v>5102</v>
      </c>
      <c r="D116" s="161" t="s">
        <v>3704</v>
      </c>
      <c r="E116" s="161" t="s">
        <v>1060</v>
      </c>
      <c r="G116" s="170" t="s">
        <v>5075</v>
      </c>
      <c r="H116" s="170" t="s">
        <v>5076</v>
      </c>
      <c r="I116" s="170" t="s">
        <v>3704</v>
      </c>
      <c r="J116" s="170" t="s">
        <v>5033</v>
      </c>
    </row>
    <row r="117" spans="1:10" ht="26.45" thickBot="1">
      <c r="A117" s="155" t="s">
        <v>842</v>
      </c>
      <c r="B117" s="156" t="s">
        <v>3703</v>
      </c>
      <c r="C117" s="155" t="s">
        <v>5072</v>
      </c>
      <c r="D117" s="161" t="s">
        <v>3705</v>
      </c>
      <c r="E117" s="160">
        <v>-0.4</v>
      </c>
      <c r="G117" s="170" t="s">
        <v>5075</v>
      </c>
      <c r="H117" s="170" t="s">
        <v>5076</v>
      </c>
      <c r="I117" s="170" t="s">
        <v>3705</v>
      </c>
      <c r="J117" s="170" t="s">
        <v>5058</v>
      </c>
    </row>
    <row r="118" spans="1:10" ht="26.45" thickBot="1">
      <c r="A118" s="155" t="s">
        <v>842</v>
      </c>
      <c r="B118" s="156" t="s">
        <v>3703</v>
      </c>
      <c r="C118" s="155" t="s">
        <v>5103</v>
      </c>
      <c r="D118" s="161" t="s">
        <v>3706</v>
      </c>
      <c r="E118" s="160">
        <v>-0.25</v>
      </c>
      <c r="G118" s="170" t="s">
        <v>5075</v>
      </c>
      <c r="H118" s="170" t="s">
        <v>5076</v>
      </c>
      <c r="I118" s="170" t="s">
        <v>3706</v>
      </c>
      <c r="J118" s="170" t="s">
        <v>5098</v>
      </c>
    </row>
    <row r="119" spans="1:10" ht="26.45" thickBot="1">
      <c r="A119" s="155" t="s">
        <v>842</v>
      </c>
      <c r="B119" s="156" t="s">
        <v>3703</v>
      </c>
      <c r="C119" s="155" t="s">
        <v>2918</v>
      </c>
      <c r="D119" s="161" t="s">
        <v>2918</v>
      </c>
      <c r="E119" s="161" t="s">
        <v>1047</v>
      </c>
      <c r="G119" s="170" t="s">
        <v>5026</v>
      </c>
      <c r="H119" s="170" t="s">
        <v>5027</v>
      </c>
      <c r="I119" s="170" t="s">
        <v>2918</v>
      </c>
      <c r="J119" s="170" t="s">
        <v>5032</v>
      </c>
    </row>
    <row r="120" spans="1:10" ht="26.45" thickBot="1">
      <c r="A120" s="155" t="s">
        <v>842</v>
      </c>
      <c r="B120" s="156" t="s">
        <v>3703</v>
      </c>
      <c r="C120" s="155" t="s">
        <v>5073</v>
      </c>
      <c r="D120" s="161" t="s">
        <v>2917</v>
      </c>
      <c r="E120" s="161" t="s">
        <v>1060</v>
      </c>
      <c r="G120" s="170" t="s">
        <v>5029</v>
      </c>
      <c r="H120" s="170" t="s">
        <v>5030</v>
      </c>
      <c r="I120" s="170" t="s">
        <v>2917</v>
      </c>
      <c r="J120" s="170" t="s">
        <v>5056</v>
      </c>
    </row>
    <row r="121" spans="1:10" ht="26.45" thickBot="1">
      <c r="A121" s="155" t="s">
        <v>842</v>
      </c>
      <c r="B121" s="156" t="s">
        <v>3703</v>
      </c>
      <c r="C121" s="155" t="s">
        <v>5104</v>
      </c>
      <c r="D121" s="161" t="s">
        <v>3707</v>
      </c>
      <c r="E121" s="161" t="s">
        <v>1052</v>
      </c>
      <c r="G121" s="170" t="s">
        <v>5075</v>
      </c>
      <c r="H121" s="170" t="s">
        <v>5076</v>
      </c>
      <c r="I121" s="170" t="s">
        <v>3707</v>
      </c>
      <c r="J121" s="170" t="s">
        <v>5025</v>
      </c>
    </row>
    <row r="122" spans="1:10" ht="26.45" thickBot="1">
      <c r="A122" s="155" t="s">
        <v>842</v>
      </c>
      <c r="B122" s="156" t="s">
        <v>3703</v>
      </c>
      <c r="C122" s="155" t="s">
        <v>1859</v>
      </c>
      <c r="D122" s="161" t="s">
        <v>1857</v>
      </c>
      <c r="E122" s="161" t="s">
        <v>1074</v>
      </c>
      <c r="G122" s="170" t="s">
        <v>5026</v>
      </c>
      <c r="H122" s="170" t="s">
        <v>5027</v>
      </c>
      <c r="I122" s="170" t="s">
        <v>1857</v>
      </c>
      <c r="J122" s="170" t="s">
        <v>5028</v>
      </c>
    </row>
    <row r="123" spans="1:10" ht="26.45" thickBot="1">
      <c r="A123" s="155" t="s">
        <v>842</v>
      </c>
      <c r="B123" s="156" t="s">
        <v>3703</v>
      </c>
      <c r="C123" s="155" t="s">
        <v>5077</v>
      </c>
      <c r="D123" s="161" t="s">
        <v>3708</v>
      </c>
      <c r="E123" s="160">
        <v>0.2</v>
      </c>
      <c r="G123" s="170" t="s">
        <v>5075</v>
      </c>
      <c r="H123" s="170" t="s">
        <v>5076</v>
      </c>
      <c r="I123" s="170" t="s">
        <v>3708</v>
      </c>
      <c r="J123" s="170" t="s">
        <v>5068</v>
      </c>
    </row>
    <row r="124" spans="1:10" ht="26.45" thickBot="1">
      <c r="A124" s="155" t="s">
        <v>842</v>
      </c>
      <c r="B124" s="156" t="s">
        <v>3703</v>
      </c>
      <c r="C124" s="155" t="s">
        <v>3672</v>
      </c>
      <c r="D124" s="161" t="s">
        <v>3709</v>
      </c>
      <c r="E124" s="161" t="s">
        <v>2162</v>
      </c>
      <c r="G124" s="170" t="s">
        <v>5075</v>
      </c>
      <c r="H124" s="170" t="s">
        <v>5076</v>
      </c>
      <c r="I124" s="170" t="s">
        <v>3709</v>
      </c>
      <c r="J124" s="170" t="s">
        <v>5068</v>
      </c>
    </row>
    <row r="125" spans="1:10" ht="13.5" thickBot="1">
      <c r="B125" s="156" t="s">
        <v>3919</v>
      </c>
      <c r="C125" s="155" t="s">
        <v>2265</v>
      </c>
      <c r="D125" s="157" t="s">
        <v>143</v>
      </c>
      <c r="E125" s="157" t="s">
        <v>2266</v>
      </c>
      <c r="G125" s="170"/>
      <c r="H125" s="170"/>
      <c r="I125" s="170"/>
      <c r="J125" s="170"/>
    </row>
    <row r="126" spans="1:10" ht="26.45" thickBot="1">
      <c r="A126" s="155" t="s">
        <v>848</v>
      </c>
      <c r="B126" s="156" t="s">
        <v>3919</v>
      </c>
      <c r="C126" s="155" t="s">
        <v>5065</v>
      </c>
      <c r="D126" s="159" t="s">
        <v>2845</v>
      </c>
      <c r="E126" s="167">
        <v>-0.6</v>
      </c>
      <c r="G126" s="170" t="s">
        <v>5039</v>
      </c>
      <c r="H126" s="170" t="s">
        <v>5040</v>
      </c>
      <c r="I126" s="170" t="s">
        <v>2845</v>
      </c>
      <c r="J126" s="170" t="s">
        <v>5056</v>
      </c>
    </row>
    <row r="127" spans="1:10" ht="26.45" thickBot="1">
      <c r="A127" s="155" t="s">
        <v>848</v>
      </c>
      <c r="B127" s="156" t="s">
        <v>3919</v>
      </c>
      <c r="C127" s="155" t="s">
        <v>5065</v>
      </c>
      <c r="D127" s="159" t="s">
        <v>3920</v>
      </c>
      <c r="E127" s="159" t="s">
        <v>1047</v>
      </c>
      <c r="G127" s="170" t="s">
        <v>5039</v>
      </c>
      <c r="H127" s="170" t="s">
        <v>5040</v>
      </c>
      <c r="I127" s="170" t="s">
        <v>3920</v>
      </c>
      <c r="J127" s="170" t="s">
        <v>5028</v>
      </c>
    </row>
    <row r="128" spans="1:10" ht="26.45" thickBot="1">
      <c r="A128" s="155" t="s">
        <v>848</v>
      </c>
      <c r="B128" s="156" t="s">
        <v>3919</v>
      </c>
      <c r="C128" s="155" t="s">
        <v>5065</v>
      </c>
      <c r="D128" s="159" t="s">
        <v>3921</v>
      </c>
      <c r="E128" s="159" t="s">
        <v>1052</v>
      </c>
      <c r="G128" s="170" t="s">
        <v>5039</v>
      </c>
      <c r="H128" s="170" t="s">
        <v>5040</v>
      </c>
      <c r="I128" s="170" t="s">
        <v>3921</v>
      </c>
      <c r="J128" s="170" t="s">
        <v>5028</v>
      </c>
    </row>
    <row r="129" spans="1:10" ht="26.45" thickBot="1">
      <c r="A129" s="155" t="s">
        <v>848</v>
      </c>
      <c r="B129" s="156" t="s">
        <v>3919</v>
      </c>
      <c r="C129" s="155" t="s">
        <v>4728</v>
      </c>
      <c r="D129" s="159" t="s">
        <v>3922</v>
      </c>
      <c r="E129" s="167">
        <v>-0.7</v>
      </c>
      <c r="G129" s="170" t="s">
        <v>5079</v>
      </c>
      <c r="H129" s="170" t="s">
        <v>5080</v>
      </c>
      <c r="I129" s="170" t="s">
        <v>3922</v>
      </c>
      <c r="J129" s="170" t="s">
        <v>5066</v>
      </c>
    </row>
    <row r="130" spans="1:10" ht="26.45" thickBot="1">
      <c r="A130" s="155" t="s">
        <v>848</v>
      </c>
      <c r="B130" s="156" t="s">
        <v>3919</v>
      </c>
      <c r="C130" s="155" t="s">
        <v>5070</v>
      </c>
      <c r="D130" s="159" t="s">
        <v>3923</v>
      </c>
      <c r="E130" s="167">
        <v>-0.5</v>
      </c>
      <c r="G130" s="170" t="s">
        <v>5029</v>
      </c>
      <c r="H130" s="170" t="s">
        <v>5030</v>
      </c>
      <c r="I130" s="170" t="s">
        <v>3923</v>
      </c>
      <c r="J130" s="170" t="s">
        <v>5056</v>
      </c>
    </row>
    <row r="131" spans="1:10" ht="26.45" thickBot="1">
      <c r="A131" s="155" t="s">
        <v>848</v>
      </c>
      <c r="B131" s="156" t="s">
        <v>3919</v>
      </c>
      <c r="C131" s="155" t="s">
        <v>5067</v>
      </c>
      <c r="D131" s="159" t="s">
        <v>2843</v>
      </c>
      <c r="E131" s="159" t="s">
        <v>1052</v>
      </c>
      <c r="G131" s="170" t="s">
        <v>5026</v>
      </c>
      <c r="H131" s="170" t="s">
        <v>5027</v>
      </c>
      <c r="I131" s="170" t="s">
        <v>2843</v>
      </c>
      <c r="J131" s="170" t="s">
        <v>5028</v>
      </c>
    </row>
    <row r="132" spans="1:10" ht="26.45" thickBot="1">
      <c r="A132" s="155" t="s">
        <v>848</v>
      </c>
      <c r="B132" s="156" t="s">
        <v>3919</v>
      </c>
      <c r="C132" s="155" t="s">
        <v>510</v>
      </c>
      <c r="D132" s="159" t="s">
        <v>3924</v>
      </c>
      <c r="E132" s="159" t="s">
        <v>3925</v>
      </c>
      <c r="G132" s="170" t="s">
        <v>5026</v>
      </c>
      <c r="H132" s="170" t="s">
        <v>5027</v>
      </c>
      <c r="I132" s="170" t="s">
        <v>3924</v>
      </c>
      <c r="J132" s="170" t="s">
        <v>5032</v>
      </c>
    </row>
    <row r="133" spans="1:10" ht="26.45" thickBot="1">
      <c r="A133" s="155" t="s">
        <v>848</v>
      </c>
      <c r="B133" s="156" t="s">
        <v>3919</v>
      </c>
      <c r="C133" s="155" t="s">
        <v>1443</v>
      </c>
      <c r="D133" s="159" t="s">
        <v>1630</v>
      </c>
      <c r="E133" s="159" t="s">
        <v>1060</v>
      </c>
      <c r="G133" s="170" t="s">
        <v>5039</v>
      </c>
      <c r="H133" s="170" t="s">
        <v>5040</v>
      </c>
      <c r="I133" s="170" t="s">
        <v>1630</v>
      </c>
      <c r="J133" s="170" t="s">
        <v>5062</v>
      </c>
    </row>
    <row r="134" spans="1:10" ht="26.45" thickBot="1">
      <c r="A134" s="155" t="s">
        <v>848</v>
      </c>
      <c r="B134" s="156" t="s">
        <v>3919</v>
      </c>
      <c r="C134" s="155" t="s">
        <v>4268</v>
      </c>
      <c r="D134" s="159" t="s">
        <v>3926</v>
      </c>
      <c r="E134" s="159" t="s">
        <v>3927</v>
      </c>
      <c r="G134" s="170" t="s">
        <v>5039</v>
      </c>
      <c r="H134" s="170" t="s">
        <v>5040</v>
      </c>
      <c r="I134" s="170" t="s">
        <v>3926</v>
      </c>
      <c r="J134" s="170" t="s">
        <v>5033</v>
      </c>
    </row>
    <row r="135" spans="1:10" ht="26.45" thickBot="1">
      <c r="A135" s="155" t="s">
        <v>848</v>
      </c>
      <c r="B135" s="156" t="s">
        <v>3919</v>
      </c>
      <c r="C135" s="155" t="s">
        <v>1570</v>
      </c>
      <c r="D135" s="159" t="s">
        <v>3928</v>
      </c>
      <c r="E135" s="167">
        <v>1</v>
      </c>
      <c r="G135" s="170" t="s">
        <v>5026</v>
      </c>
      <c r="H135" s="170" t="s">
        <v>5027</v>
      </c>
      <c r="I135" s="170" t="s">
        <v>3928</v>
      </c>
      <c r="J135" s="170" t="s">
        <v>5025</v>
      </c>
    </row>
    <row r="136" spans="1:10" ht="13.5" thickBot="1">
      <c r="A136" s="155" t="s">
        <v>848</v>
      </c>
      <c r="B136" s="156" t="s">
        <v>3995</v>
      </c>
      <c r="C136" s="155" t="s">
        <v>2265</v>
      </c>
      <c r="D136" s="157" t="s">
        <v>143</v>
      </c>
      <c r="E136" s="157" t="s">
        <v>2266</v>
      </c>
      <c r="G136" s="170"/>
      <c r="H136" s="170"/>
      <c r="I136" s="170"/>
      <c r="J136" s="170"/>
    </row>
    <row r="137" spans="1:10" ht="26.45" thickBot="1">
      <c r="A137" s="155" t="s">
        <v>848</v>
      </c>
      <c r="B137" s="156" t="s">
        <v>3995</v>
      </c>
      <c r="C137" s="155" t="s">
        <v>2806</v>
      </c>
      <c r="D137" s="159" t="s">
        <v>3996</v>
      </c>
      <c r="E137" s="167">
        <v>-0.5</v>
      </c>
      <c r="G137" s="170" t="s">
        <v>5029</v>
      </c>
      <c r="H137" s="170" t="s">
        <v>5030</v>
      </c>
      <c r="I137" s="170" t="s">
        <v>3996</v>
      </c>
      <c r="J137" s="170" t="s">
        <v>5056</v>
      </c>
    </row>
    <row r="138" spans="1:10" ht="26.45" thickBot="1">
      <c r="A138" s="155" t="s">
        <v>848</v>
      </c>
      <c r="B138" s="156" t="s">
        <v>3995</v>
      </c>
      <c r="C138" s="155" t="s">
        <v>2806</v>
      </c>
      <c r="D138" s="159" t="s">
        <v>3997</v>
      </c>
      <c r="E138" s="159" t="s">
        <v>1047</v>
      </c>
      <c r="G138" s="170" t="s">
        <v>5029</v>
      </c>
      <c r="H138" s="170" t="s">
        <v>5030</v>
      </c>
      <c r="I138" s="170" t="s">
        <v>3997</v>
      </c>
      <c r="J138" s="170" t="s">
        <v>5032</v>
      </c>
    </row>
    <row r="139" spans="1:10" ht="26.45" thickBot="1">
      <c r="A139" s="155" t="s">
        <v>848</v>
      </c>
      <c r="B139" s="156" t="s">
        <v>3995</v>
      </c>
      <c r="C139" s="155" t="s">
        <v>4728</v>
      </c>
      <c r="D139" s="159" t="s">
        <v>3998</v>
      </c>
      <c r="E139" s="159" t="s">
        <v>3927</v>
      </c>
      <c r="G139" s="170" t="s">
        <v>5079</v>
      </c>
      <c r="H139" s="170" t="s">
        <v>5080</v>
      </c>
      <c r="I139" s="170" t="s">
        <v>3998</v>
      </c>
      <c r="J139" s="170" t="s">
        <v>5105</v>
      </c>
    </row>
    <row r="140" spans="1:10" ht="26.45" thickBot="1">
      <c r="A140" s="155" t="s">
        <v>848</v>
      </c>
      <c r="B140" s="156" t="s">
        <v>3995</v>
      </c>
      <c r="C140" s="155" t="s">
        <v>2806</v>
      </c>
      <c r="D140" s="159" t="s">
        <v>3999</v>
      </c>
      <c r="E140" s="159" t="s">
        <v>1047</v>
      </c>
      <c r="G140" s="170" t="s">
        <v>5026</v>
      </c>
      <c r="H140" s="170" t="s">
        <v>5027</v>
      </c>
      <c r="I140" s="170" t="s">
        <v>3999</v>
      </c>
      <c r="J140" s="170" t="s">
        <v>5028</v>
      </c>
    </row>
    <row r="141" spans="1:10" ht="26.45" thickBot="1">
      <c r="A141" s="155" t="s">
        <v>848</v>
      </c>
      <c r="B141" s="156" t="s">
        <v>3995</v>
      </c>
      <c r="C141" s="155" t="s">
        <v>5106</v>
      </c>
      <c r="D141" s="159" t="s">
        <v>4000</v>
      </c>
      <c r="E141" s="159" t="s">
        <v>1047</v>
      </c>
      <c r="G141" s="170" t="s">
        <v>5026</v>
      </c>
      <c r="H141" s="170" t="s">
        <v>5027</v>
      </c>
      <c r="I141" s="170" t="s">
        <v>4000</v>
      </c>
      <c r="J141" s="170" t="s">
        <v>5028</v>
      </c>
    </row>
    <row r="142" spans="1:10" ht="26.45" thickBot="1">
      <c r="A142" s="155" t="s">
        <v>848</v>
      </c>
      <c r="B142" s="156" t="s">
        <v>3995</v>
      </c>
      <c r="C142" s="155" t="s">
        <v>4728</v>
      </c>
      <c r="D142" s="159" t="s">
        <v>4001</v>
      </c>
      <c r="E142" s="167">
        <v>-0.7</v>
      </c>
      <c r="G142" s="170" t="s">
        <v>5079</v>
      </c>
      <c r="H142" s="170" t="s">
        <v>5080</v>
      </c>
      <c r="I142" s="170" t="s">
        <v>4001</v>
      </c>
      <c r="J142" s="170" t="s">
        <v>5066</v>
      </c>
    </row>
    <row r="143" spans="1:10" ht="26.45" thickBot="1">
      <c r="A143" s="155" t="s">
        <v>848</v>
      </c>
      <c r="B143" s="156" t="s">
        <v>3995</v>
      </c>
      <c r="C143" s="155" t="s">
        <v>1443</v>
      </c>
      <c r="D143" s="159" t="s">
        <v>1630</v>
      </c>
      <c r="E143" s="159" t="s">
        <v>1060</v>
      </c>
      <c r="G143" s="170" t="s">
        <v>5039</v>
      </c>
      <c r="H143" s="170" t="s">
        <v>5040</v>
      </c>
      <c r="I143" s="170" t="s">
        <v>1630</v>
      </c>
      <c r="J143" s="170" t="s">
        <v>5062</v>
      </c>
    </row>
    <row r="144" spans="1:10" ht="26.45" thickBot="1">
      <c r="A144" s="155" t="s">
        <v>848</v>
      </c>
      <c r="B144" s="156" t="s">
        <v>3995</v>
      </c>
      <c r="C144" s="155" t="s">
        <v>5107</v>
      </c>
      <c r="D144" s="159" t="s">
        <v>4002</v>
      </c>
      <c r="E144" s="167">
        <v>-0.4</v>
      </c>
      <c r="G144" s="170" t="s">
        <v>5096</v>
      </c>
      <c r="H144" s="170" t="s">
        <v>5097</v>
      </c>
      <c r="I144" s="170" t="s">
        <v>4002</v>
      </c>
      <c r="J144" s="170" t="s">
        <v>5058</v>
      </c>
    </row>
    <row r="145" spans="1:10" ht="26.45" thickBot="1">
      <c r="A145" s="155" t="s">
        <v>848</v>
      </c>
      <c r="B145" s="156" t="s">
        <v>3995</v>
      </c>
      <c r="C145" s="155" t="s">
        <v>510</v>
      </c>
      <c r="D145" s="159" t="s">
        <v>4003</v>
      </c>
      <c r="E145" s="159" t="s">
        <v>1047</v>
      </c>
      <c r="G145" s="170" t="s">
        <v>5026</v>
      </c>
      <c r="H145" s="170" t="s">
        <v>5027</v>
      </c>
      <c r="I145" s="170" t="s">
        <v>4003</v>
      </c>
      <c r="J145" s="170" t="s">
        <v>5028</v>
      </c>
    </row>
    <row r="146" spans="1:10" ht="26.45" thickBot="1">
      <c r="A146" s="155" t="s">
        <v>848</v>
      </c>
      <c r="B146" s="156" t="s">
        <v>3995</v>
      </c>
      <c r="C146" s="155" t="s">
        <v>1570</v>
      </c>
      <c r="D146" s="159" t="s">
        <v>1570</v>
      </c>
      <c r="E146" s="167">
        <v>1</v>
      </c>
      <c r="G146" s="170" t="s">
        <v>5026</v>
      </c>
      <c r="H146" s="170" t="s">
        <v>5027</v>
      </c>
      <c r="I146" s="170" t="s">
        <v>1570</v>
      </c>
      <c r="J146" s="170" t="s">
        <v>5068</v>
      </c>
    </row>
    <row r="147" spans="1:10" ht="13.5" thickBot="1">
      <c r="A147" s="155" t="s">
        <v>848</v>
      </c>
      <c r="B147" s="156" t="s">
        <v>4070</v>
      </c>
      <c r="C147" s="155" t="s">
        <v>2265</v>
      </c>
      <c r="D147" s="157" t="s">
        <v>143</v>
      </c>
      <c r="E147" s="157" t="s">
        <v>2266</v>
      </c>
      <c r="G147" s="170"/>
      <c r="H147" s="170"/>
      <c r="I147" s="170"/>
      <c r="J147" s="170"/>
    </row>
    <row r="148" spans="1:10" ht="26.45" thickBot="1">
      <c r="A148" s="155" t="s">
        <v>848</v>
      </c>
      <c r="B148" s="156" t="s">
        <v>4070</v>
      </c>
      <c r="C148" s="155" t="s">
        <v>4021</v>
      </c>
      <c r="D148" s="159" t="s">
        <v>4071</v>
      </c>
      <c r="E148" s="160">
        <v>-0.8</v>
      </c>
      <c r="G148" s="170" t="s">
        <v>5026</v>
      </c>
      <c r="H148" s="170" t="s">
        <v>5027</v>
      </c>
      <c r="I148" s="170" t="s">
        <v>4071</v>
      </c>
      <c r="J148" s="170" t="s">
        <v>5098</v>
      </c>
    </row>
    <row r="149" spans="1:10" ht="26.45" thickBot="1">
      <c r="A149" s="155" t="s">
        <v>848</v>
      </c>
      <c r="B149" s="156" t="s">
        <v>4070</v>
      </c>
      <c r="C149" s="155" t="s">
        <v>4026</v>
      </c>
      <c r="D149" s="159" t="s">
        <v>4072</v>
      </c>
      <c r="E149" s="160">
        <v>-0.9</v>
      </c>
      <c r="G149" s="170" t="s">
        <v>5023</v>
      </c>
      <c r="H149" s="170" t="s">
        <v>5024</v>
      </c>
      <c r="I149" s="170" t="s">
        <v>4072</v>
      </c>
      <c r="J149" s="170" t="s">
        <v>5056</v>
      </c>
    </row>
    <row r="150" spans="1:10" ht="26.45" thickBot="1">
      <c r="A150" s="155" t="s">
        <v>848</v>
      </c>
      <c r="B150" s="156" t="s">
        <v>4070</v>
      </c>
      <c r="C150" s="155" t="s">
        <v>3266</v>
      </c>
      <c r="D150" s="159" t="s">
        <v>4073</v>
      </c>
      <c r="E150" s="160">
        <v>-0.7</v>
      </c>
      <c r="G150" s="170" t="s">
        <v>5026</v>
      </c>
      <c r="H150" s="170" t="s">
        <v>5027</v>
      </c>
      <c r="I150" s="170" t="s">
        <v>4073</v>
      </c>
      <c r="J150" s="170" t="s">
        <v>5056</v>
      </c>
    </row>
    <row r="151" spans="1:10" ht="26.45" thickBot="1">
      <c r="A151" s="155" t="s">
        <v>848</v>
      </c>
      <c r="B151" s="156" t="s">
        <v>4070</v>
      </c>
      <c r="C151" s="155" t="s">
        <v>1683</v>
      </c>
      <c r="D151" s="159" t="s">
        <v>4074</v>
      </c>
      <c r="E151" s="161" t="s">
        <v>1060</v>
      </c>
      <c r="G151" s="170" t="s">
        <v>5026</v>
      </c>
      <c r="H151" s="170" t="s">
        <v>5027</v>
      </c>
      <c r="I151" s="170" t="s">
        <v>4074</v>
      </c>
      <c r="J151" s="170" t="s">
        <v>5033</v>
      </c>
    </row>
    <row r="152" spans="1:10" ht="26.45" thickBot="1">
      <c r="A152" s="155" t="s">
        <v>848</v>
      </c>
      <c r="B152" s="156" t="s">
        <v>4070</v>
      </c>
      <c r="C152" s="155" t="s">
        <v>5108</v>
      </c>
      <c r="D152" s="159" t="s">
        <v>4075</v>
      </c>
      <c r="E152" s="161" t="s">
        <v>1060</v>
      </c>
      <c r="G152" s="170" t="s">
        <v>5026</v>
      </c>
      <c r="H152" s="170" t="s">
        <v>5027</v>
      </c>
      <c r="I152" s="170" t="s">
        <v>4075</v>
      </c>
      <c r="J152" s="170" t="s">
        <v>5028</v>
      </c>
    </row>
    <row r="153" spans="1:10" ht="26.45" thickBot="1">
      <c r="A153" s="155" t="s">
        <v>848</v>
      </c>
      <c r="B153" s="156" t="s">
        <v>4070</v>
      </c>
      <c r="C153" s="155" t="s">
        <v>5109</v>
      </c>
      <c r="D153" s="159" t="s">
        <v>4076</v>
      </c>
      <c r="E153" s="161" t="s">
        <v>1074</v>
      </c>
      <c r="G153" s="170" t="s">
        <v>5026</v>
      </c>
      <c r="H153" s="170" t="s">
        <v>5027</v>
      </c>
      <c r="I153" s="170" t="s">
        <v>4076</v>
      </c>
      <c r="J153" s="170" t="s">
        <v>5028</v>
      </c>
    </row>
    <row r="154" spans="1:10" ht="26.45" thickBot="1">
      <c r="A154" s="155" t="s">
        <v>848</v>
      </c>
      <c r="B154" s="156" t="s">
        <v>4070</v>
      </c>
      <c r="C154" s="155" t="s">
        <v>1570</v>
      </c>
      <c r="D154" s="159" t="s">
        <v>4077</v>
      </c>
      <c r="E154" s="160">
        <v>1</v>
      </c>
      <c r="G154" s="170" t="s">
        <v>5026</v>
      </c>
      <c r="H154" s="170" t="s">
        <v>5027</v>
      </c>
      <c r="I154" s="170" t="s">
        <v>4077</v>
      </c>
      <c r="J154" s="170" t="s">
        <v>5068</v>
      </c>
    </row>
    <row r="155" spans="1:10" ht="26.45" thickBot="1">
      <c r="A155" s="155" t="s">
        <v>848</v>
      </c>
      <c r="B155" s="156" t="s">
        <v>4070</v>
      </c>
      <c r="C155" s="155" t="s">
        <v>1683</v>
      </c>
      <c r="D155" s="159" t="s">
        <v>4078</v>
      </c>
      <c r="E155" s="161" t="s">
        <v>1047</v>
      </c>
      <c r="G155" s="170" t="s">
        <v>5026</v>
      </c>
      <c r="H155" s="170" t="s">
        <v>5027</v>
      </c>
      <c r="I155" s="170" t="s">
        <v>4078</v>
      </c>
      <c r="J155" s="170" t="s">
        <v>5032</v>
      </c>
    </row>
    <row r="156" spans="1:10" ht="26.45" thickBot="1">
      <c r="A156" s="155" t="s">
        <v>848</v>
      </c>
      <c r="B156" s="156" t="s">
        <v>4070</v>
      </c>
      <c r="C156" s="155" t="s">
        <v>4021</v>
      </c>
      <c r="D156" s="159" t="s">
        <v>4079</v>
      </c>
      <c r="E156" s="160">
        <v>-0.8</v>
      </c>
      <c r="G156" s="170" t="s">
        <v>5029</v>
      </c>
      <c r="H156" s="170" t="s">
        <v>5030</v>
      </c>
      <c r="I156" s="170" t="s">
        <v>4079</v>
      </c>
      <c r="J156" s="170" t="s">
        <v>5056</v>
      </c>
    </row>
    <row r="157" spans="1:10" ht="26.45" thickBot="1">
      <c r="A157" s="155" t="s">
        <v>848</v>
      </c>
      <c r="B157" s="156" t="s">
        <v>4070</v>
      </c>
      <c r="C157" s="155" t="s">
        <v>5110</v>
      </c>
      <c r="D157" s="159" t="s">
        <v>4080</v>
      </c>
      <c r="E157" s="161" t="s">
        <v>1060</v>
      </c>
      <c r="G157" s="170" t="s">
        <v>5039</v>
      </c>
      <c r="H157" s="170" t="s">
        <v>5040</v>
      </c>
      <c r="I157" s="170" t="s">
        <v>4080</v>
      </c>
      <c r="J157" s="170" t="s">
        <v>5062</v>
      </c>
    </row>
    <row r="158" spans="1:10" ht="13.5" thickBot="1">
      <c r="B158" s="156" t="s">
        <v>4327</v>
      </c>
      <c r="C158" s="155" t="s">
        <v>2265</v>
      </c>
      <c r="D158" s="157" t="s">
        <v>143</v>
      </c>
      <c r="E158" s="157" t="s">
        <v>2266</v>
      </c>
      <c r="G158" s="170"/>
      <c r="H158" s="170"/>
      <c r="I158" s="170"/>
      <c r="J158" s="170"/>
    </row>
    <row r="159" spans="1:10" ht="26.45" thickBot="1">
      <c r="A159" s="155" t="s">
        <v>854</v>
      </c>
      <c r="B159" s="156" t="s">
        <v>4327</v>
      </c>
      <c r="C159" s="155" t="s">
        <v>5111</v>
      </c>
      <c r="D159" s="159" t="s">
        <v>4328</v>
      </c>
      <c r="E159" s="159" t="s">
        <v>2159</v>
      </c>
      <c r="G159" s="170" t="s">
        <v>5079</v>
      </c>
      <c r="H159" s="170" t="s">
        <v>5080</v>
      </c>
      <c r="I159" s="170" t="s">
        <v>4328</v>
      </c>
      <c r="J159" s="170" t="s">
        <v>5105</v>
      </c>
    </row>
    <row r="160" spans="1:10" ht="26.45" thickBot="1">
      <c r="A160" s="155" t="s">
        <v>854</v>
      </c>
      <c r="B160" s="156" t="s">
        <v>4327</v>
      </c>
      <c r="C160" s="155" t="s">
        <v>4268</v>
      </c>
      <c r="D160" s="159" t="s">
        <v>4329</v>
      </c>
      <c r="E160" s="159" t="s">
        <v>2162</v>
      </c>
      <c r="G160" s="170" t="s">
        <v>5079</v>
      </c>
      <c r="H160" s="170" t="s">
        <v>5080</v>
      </c>
      <c r="I160" s="170" t="s">
        <v>4329</v>
      </c>
      <c r="J160" s="170" t="s">
        <v>5033</v>
      </c>
    </row>
    <row r="161" spans="1:10" ht="26.45" thickBot="1">
      <c r="A161" s="155" t="s">
        <v>854</v>
      </c>
      <c r="B161" s="156" t="s">
        <v>4327</v>
      </c>
      <c r="C161" s="155" t="s">
        <v>5112</v>
      </c>
      <c r="D161" s="159" t="s">
        <v>4330</v>
      </c>
      <c r="E161" s="159" t="s">
        <v>2165</v>
      </c>
      <c r="G161" s="170" t="s">
        <v>5079</v>
      </c>
      <c r="H161" s="170" t="s">
        <v>5080</v>
      </c>
      <c r="I161" s="170" t="s">
        <v>4330</v>
      </c>
      <c r="J161" s="170" t="s">
        <v>5025</v>
      </c>
    </row>
    <row r="162" spans="1:10" ht="26.45" thickBot="1">
      <c r="A162" s="155" t="s">
        <v>854</v>
      </c>
      <c r="B162" s="156" t="s">
        <v>4327</v>
      </c>
      <c r="C162" s="155" t="s">
        <v>2209</v>
      </c>
      <c r="D162" s="159" t="s">
        <v>4331</v>
      </c>
      <c r="E162" s="159" t="s">
        <v>1047</v>
      </c>
      <c r="G162" s="170" t="s">
        <v>5029</v>
      </c>
      <c r="H162" s="170" t="s">
        <v>5030</v>
      </c>
      <c r="I162" s="170" t="s">
        <v>4331</v>
      </c>
      <c r="J162" s="170" t="s">
        <v>5033</v>
      </c>
    </row>
    <row r="163" spans="1:10" ht="26.45" thickBot="1">
      <c r="A163" s="155" t="s">
        <v>854</v>
      </c>
      <c r="B163" s="156" t="s">
        <v>4327</v>
      </c>
      <c r="C163" s="155" t="s">
        <v>5113</v>
      </c>
      <c r="D163" s="159" t="s">
        <v>4332</v>
      </c>
      <c r="E163" s="167">
        <v>0.5</v>
      </c>
      <c r="G163" s="170" t="s">
        <v>5035</v>
      </c>
      <c r="H163" s="170" t="s">
        <v>5036</v>
      </c>
      <c r="I163" s="170" t="s">
        <v>4332</v>
      </c>
      <c r="J163" s="170" t="s">
        <v>5061</v>
      </c>
    </row>
    <row r="164" spans="1:10" ht="26.45" thickBot="1">
      <c r="A164" s="155" t="s">
        <v>854</v>
      </c>
      <c r="B164" s="156" t="s">
        <v>4327</v>
      </c>
      <c r="C164" s="155" t="s">
        <v>5107</v>
      </c>
      <c r="D164" s="159" t="s">
        <v>4333</v>
      </c>
      <c r="E164" s="167">
        <v>-0.4</v>
      </c>
      <c r="G164" s="170" t="s">
        <v>5096</v>
      </c>
      <c r="H164" s="170" t="s">
        <v>5097</v>
      </c>
      <c r="I164" s="170" t="s">
        <v>4333</v>
      </c>
      <c r="J164" s="170" t="s">
        <v>5114</v>
      </c>
    </row>
    <row r="165" spans="1:10" ht="26.45" thickBot="1">
      <c r="A165" s="155" t="s">
        <v>854</v>
      </c>
      <c r="B165" s="156" t="s">
        <v>4327</v>
      </c>
      <c r="C165" s="155" t="s">
        <v>5115</v>
      </c>
      <c r="D165" s="159" t="s">
        <v>4334</v>
      </c>
      <c r="E165" s="167">
        <v>-0.9</v>
      </c>
      <c r="G165" s="170" t="s">
        <v>5023</v>
      </c>
      <c r="H165" s="170" t="s">
        <v>5024</v>
      </c>
      <c r="I165" s="170" t="s">
        <v>4334</v>
      </c>
      <c r="J165" s="170" t="s">
        <v>5098</v>
      </c>
    </row>
    <row r="166" spans="1:10" ht="26.45" thickBot="1">
      <c r="A166" s="155" t="s">
        <v>854</v>
      </c>
      <c r="B166" s="156" t="s">
        <v>4327</v>
      </c>
      <c r="C166" s="155" t="s">
        <v>5116</v>
      </c>
      <c r="D166" s="159" t="s">
        <v>4335</v>
      </c>
      <c r="E166" s="167">
        <v>1</v>
      </c>
      <c r="G166" s="170" t="s">
        <v>5037</v>
      </c>
      <c r="H166" s="170" t="s">
        <v>5038</v>
      </c>
      <c r="I166" s="170" t="s">
        <v>4335</v>
      </c>
      <c r="J166" s="170" t="s">
        <v>5031</v>
      </c>
    </row>
    <row r="167" spans="1:10" ht="26.45" thickBot="1">
      <c r="A167" s="155" t="s">
        <v>854</v>
      </c>
      <c r="B167" s="156" t="s">
        <v>4327</v>
      </c>
      <c r="C167" s="155" t="s">
        <v>4055</v>
      </c>
      <c r="D167" s="159" t="s">
        <v>4336</v>
      </c>
      <c r="E167" s="167">
        <v>-0.8</v>
      </c>
      <c r="G167" s="170" t="s">
        <v>5029</v>
      </c>
      <c r="H167" s="170" t="s">
        <v>5030</v>
      </c>
      <c r="I167" s="170" t="s">
        <v>4336</v>
      </c>
      <c r="J167" s="170" t="s">
        <v>5056</v>
      </c>
    </row>
    <row r="168" spans="1:10" ht="26.45" thickBot="1">
      <c r="A168" s="155" t="s">
        <v>854</v>
      </c>
      <c r="B168" s="156" t="s">
        <v>4327</v>
      </c>
      <c r="C168" s="155" t="s">
        <v>4121</v>
      </c>
      <c r="D168" s="159" t="s">
        <v>4337</v>
      </c>
      <c r="E168" s="167">
        <v>1</v>
      </c>
      <c r="G168" s="170" t="s">
        <v>5026</v>
      </c>
      <c r="H168" s="170" t="s">
        <v>5027</v>
      </c>
      <c r="I168" s="170" t="s">
        <v>4337</v>
      </c>
      <c r="J168" s="170" t="s">
        <v>5032</v>
      </c>
    </row>
    <row r="169" spans="1:10" ht="13.5" thickBot="1">
      <c r="A169" s="155" t="s">
        <v>854</v>
      </c>
      <c r="B169" s="156" t="s">
        <v>4401</v>
      </c>
      <c r="C169" s="155" t="s">
        <v>2265</v>
      </c>
      <c r="D169" s="157" t="s">
        <v>143</v>
      </c>
      <c r="E169" s="157" t="s">
        <v>2266</v>
      </c>
      <c r="G169" s="170"/>
      <c r="H169" s="170"/>
      <c r="I169" s="170"/>
      <c r="J169" s="170"/>
    </row>
    <row r="170" spans="1:10" ht="26.45" thickBot="1">
      <c r="A170" s="155" t="s">
        <v>854</v>
      </c>
      <c r="B170" s="156" t="s">
        <v>4401</v>
      </c>
      <c r="C170" s="155" t="s">
        <v>2311</v>
      </c>
      <c r="D170" s="159" t="s">
        <v>4402</v>
      </c>
      <c r="E170" s="159" t="s">
        <v>1047</v>
      </c>
      <c r="G170" s="170" t="s">
        <v>5037</v>
      </c>
      <c r="H170" s="170" t="s">
        <v>5038</v>
      </c>
      <c r="I170" s="170" t="s">
        <v>4402</v>
      </c>
      <c r="J170" s="170" t="s">
        <v>5028</v>
      </c>
    </row>
    <row r="171" spans="1:10" ht="26.45" thickBot="1">
      <c r="A171" s="155" t="s">
        <v>854</v>
      </c>
      <c r="B171" s="156" t="s">
        <v>4401</v>
      </c>
      <c r="C171" s="155" t="s">
        <v>5117</v>
      </c>
      <c r="D171" s="159" t="s">
        <v>4403</v>
      </c>
      <c r="E171" s="159" t="s">
        <v>1052</v>
      </c>
      <c r="G171" s="170" t="s">
        <v>5037</v>
      </c>
      <c r="H171" s="170" t="s">
        <v>5038</v>
      </c>
      <c r="I171" s="170" t="s">
        <v>4403</v>
      </c>
      <c r="J171" s="170" t="s">
        <v>5028</v>
      </c>
    </row>
    <row r="172" spans="1:10" ht="26.45" thickBot="1">
      <c r="A172" s="155" t="s">
        <v>854</v>
      </c>
      <c r="B172" s="156" t="s">
        <v>4401</v>
      </c>
      <c r="C172" s="155" t="s">
        <v>3327</v>
      </c>
      <c r="D172" s="159" t="s">
        <v>4404</v>
      </c>
      <c r="E172" s="159" t="s">
        <v>1060</v>
      </c>
      <c r="G172" s="170" t="s">
        <v>5037</v>
      </c>
      <c r="H172" s="170" t="s">
        <v>5038</v>
      </c>
      <c r="I172" s="170" t="s">
        <v>4404</v>
      </c>
      <c r="J172" s="170" t="s">
        <v>5032</v>
      </c>
    </row>
    <row r="173" spans="1:10" ht="26.45" thickBot="1">
      <c r="A173" s="155" t="s">
        <v>854</v>
      </c>
      <c r="B173" s="156" t="s">
        <v>4401</v>
      </c>
      <c r="C173" s="155" t="s">
        <v>2311</v>
      </c>
      <c r="D173" s="159" t="s">
        <v>4405</v>
      </c>
      <c r="E173" s="159" t="s">
        <v>1060</v>
      </c>
      <c r="G173" s="170" t="s">
        <v>5037</v>
      </c>
      <c r="H173" s="170" t="s">
        <v>5038</v>
      </c>
      <c r="I173" s="170" t="s">
        <v>4405</v>
      </c>
      <c r="J173" s="170" t="s">
        <v>5033</v>
      </c>
    </row>
    <row r="174" spans="1:10" ht="26.45" thickBot="1">
      <c r="A174" s="155" t="s">
        <v>854</v>
      </c>
      <c r="B174" s="156" t="s">
        <v>4401</v>
      </c>
      <c r="C174" s="155" t="s">
        <v>2311</v>
      </c>
      <c r="D174" s="159" t="s">
        <v>4406</v>
      </c>
      <c r="E174" s="167">
        <v>0.5</v>
      </c>
      <c r="G174" s="170" t="s">
        <v>5037</v>
      </c>
      <c r="H174" s="170" t="s">
        <v>5038</v>
      </c>
      <c r="I174" s="170" t="s">
        <v>4406</v>
      </c>
      <c r="J174" s="170" t="s">
        <v>5105</v>
      </c>
    </row>
    <row r="175" spans="1:10" ht="26.45" thickBot="1">
      <c r="A175" s="155" t="s">
        <v>854</v>
      </c>
      <c r="B175" s="156" t="s">
        <v>4401</v>
      </c>
      <c r="C175" s="155" t="s">
        <v>3327</v>
      </c>
      <c r="D175" s="159" t="s">
        <v>4407</v>
      </c>
      <c r="E175" s="167">
        <v>1</v>
      </c>
      <c r="G175" s="170" t="s">
        <v>5037</v>
      </c>
      <c r="H175" s="170" t="s">
        <v>5038</v>
      </c>
      <c r="I175" s="170" t="s">
        <v>4407</v>
      </c>
      <c r="J175" s="170" t="s">
        <v>5031</v>
      </c>
    </row>
    <row r="176" spans="1:10" ht="26.45" thickBot="1">
      <c r="A176" s="155" t="s">
        <v>854</v>
      </c>
      <c r="B176" s="156" t="s">
        <v>4401</v>
      </c>
      <c r="C176" s="155" t="s">
        <v>5118</v>
      </c>
      <c r="D176" s="159" t="s">
        <v>4408</v>
      </c>
      <c r="E176" s="159" t="s">
        <v>4409</v>
      </c>
      <c r="G176" s="170" t="s">
        <v>5037</v>
      </c>
      <c r="H176" s="170" t="s">
        <v>5038</v>
      </c>
      <c r="I176" s="170" t="s">
        <v>4408</v>
      </c>
      <c r="J176" s="170" t="s">
        <v>5056</v>
      </c>
    </row>
    <row r="177" spans="1:10" ht="26.45" thickBot="1">
      <c r="A177" s="155" t="s">
        <v>854</v>
      </c>
      <c r="B177" s="156" t="s">
        <v>4401</v>
      </c>
      <c r="C177" s="155" t="s">
        <v>5119</v>
      </c>
      <c r="D177" s="159" t="s">
        <v>4410</v>
      </c>
      <c r="E177" s="159" t="s">
        <v>3925</v>
      </c>
      <c r="G177" s="170" t="s">
        <v>5026</v>
      </c>
      <c r="H177" s="170" t="s">
        <v>5027</v>
      </c>
      <c r="I177" s="170" t="s">
        <v>4410</v>
      </c>
      <c r="J177" s="170" t="s">
        <v>5066</v>
      </c>
    </row>
    <row r="178" spans="1:10" ht="26.45" thickBot="1">
      <c r="A178" s="155" t="s">
        <v>854</v>
      </c>
      <c r="B178" s="156" t="s">
        <v>4401</v>
      </c>
      <c r="C178" s="155" t="s">
        <v>3327</v>
      </c>
      <c r="D178" s="159" t="s">
        <v>4411</v>
      </c>
      <c r="E178" s="167">
        <v>1</v>
      </c>
      <c r="G178" s="170" t="s">
        <v>5037</v>
      </c>
      <c r="H178" s="170" t="s">
        <v>5038</v>
      </c>
      <c r="I178" s="170" t="s">
        <v>4411</v>
      </c>
      <c r="J178" s="170" t="s">
        <v>5031</v>
      </c>
    </row>
    <row r="179" spans="1:10" ht="26.45" thickBot="1">
      <c r="A179" s="155" t="s">
        <v>854</v>
      </c>
      <c r="B179" s="156" t="s">
        <v>4401</v>
      </c>
      <c r="C179" s="155" t="s">
        <v>5120</v>
      </c>
      <c r="D179" s="159" t="s">
        <v>4412</v>
      </c>
      <c r="E179" s="159" t="s">
        <v>1060</v>
      </c>
      <c r="G179" s="170" t="s">
        <v>5039</v>
      </c>
      <c r="H179" s="170" t="s">
        <v>5040</v>
      </c>
      <c r="I179" s="170" t="s">
        <v>4412</v>
      </c>
      <c r="J179" s="170" t="s">
        <v>5062</v>
      </c>
    </row>
    <row r="180" spans="1:10" ht="13.5" thickBot="1">
      <c r="A180" s="155" t="s">
        <v>854</v>
      </c>
      <c r="B180" s="156" t="s">
        <v>4465</v>
      </c>
      <c r="C180" s="155" t="s">
        <v>2265</v>
      </c>
      <c r="D180" s="157" t="s">
        <v>143</v>
      </c>
      <c r="E180" s="157" t="s">
        <v>2266</v>
      </c>
      <c r="G180" s="170"/>
      <c r="H180" s="170"/>
      <c r="I180" s="170"/>
      <c r="J180" s="170"/>
    </row>
    <row r="181" spans="1:10" ht="26.45" thickBot="1">
      <c r="A181" s="155" t="s">
        <v>854</v>
      </c>
      <c r="B181" s="156" t="s">
        <v>4465</v>
      </c>
      <c r="C181" s="155" t="s">
        <v>4415</v>
      </c>
      <c r="D181" s="159" t="s">
        <v>4466</v>
      </c>
      <c r="E181" s="159" t="s">
        <v>2023</v>
      </c>
      <c r="G181" s="170" t="s">
        <v>5039</v>
      </c>
      <c r="H181" s="170" t="s">
        <v>5040</v>
      </c>
      <c r="I181" s="170" t="s">
        <v>4466</v>
      </c>
      <c r="J181" s="170" t="s">
        <v>5066</v>
      </c>
    </row>
    <row r="182" spans="1:10" ht="26.45" thickBot="1">
      <c r="A182" s="155" t="s">
        <v>854</v>
      </c>
      <c r="B182" s="156" t="s">
        <v>4465</v>
      </c>
      <c r="C182" s="155" t="s">
        <v>5041</v>
      </c>
      <c r="D182" s="159" t="s">
        <v>4467</v>
      </c>
      <c r="E182" s="167">
        <v>-0.7</v>
      </c>
      <c r="G182" s="170" t="s">
        <v>5039</v>
      </c>
      <c r="H182" s="170" t="s">
        <v>5040</v>
      </c>
      <c r="I182" s="170" t="s">
        <v>4467</v>
      </c>
      <c r="J182" s="170" t="s">
        <v>5056</v>
      </c>
    </row>
    <row r="183" spans="1:10" ht="26.45" thickBot="1">
      <c r="A183" s="155" t="s">
        <v>854</v>
      </c>
      <c r="B183" s="156" t="s">
        <v>4465</v>
      </c>
      <c r="C183" s="155" t="s">
        <v>5121</v>
      </c>
      <c r="D183" s="159" t="s">
        <v>4468</v>
      </c>
      <c r="E183" s="167">
        <v>0.4</v>
      </c>
      <c r="G183" s="170" t="s">
        <v>5047</v>
      </c>
      <c r="H183" s="170" t="s">
        <v>5048</v>
      </c>
      <c r="I183" s="170" t="s">
        <v>4468</v>
      </c>
      <c r="J183" s="170" t="s">
        <v>5068</v>
      </c>
    </row>
    <row r="184" spans="1:10" ht="26.45" thickBot="1">
      <c r="A184" s="155" t="s">
        <v>854</v>
      </c>
      <c r="B184" s="156" t="s">
        <v>4465</v>
      </c>
      <c r="C184" s="155" t="s">
        <v>5122</v>
      </c>
      <c r="D184" s="159" t="s">
        <v>4469</v>
      </c>
      <c r="E184" s="167">
        <v>-0.6</v>
      </c>
      <c r="G184" s="170" t="s">
        <v>5026</v>
      </c>
      <c r="H184" s="170" t="s">
        <v>5027</v>
      </c>
      <c r="I184" s="170" t="s">
        <v>4469</v>
      </c>
      <c r="J184" s="170" t="s">
        <v>5066</v>
      </c>
    </row>
    <row r="185" spans="1:10" ht="26.45" thickBot="1">
      <c r="A185" s="155" t="s">
        <v>854</v>
      </c>
      <c r="B185" s="156" t="s">
        <v>4465</v>
      </c>
      <c r="C185" s="155" t="s">
        <v>4728</v>
      </c>
      <c r="D185" s="159" t="s">
        <v>4470</v>
      </c>
      <c r="E185" s="159" t="s">
        <v>4471</v>
      </c>
      <c r="G185" s="170" t="s">
        <v>5059</v>
      </c>
      <c r="H185" s="170" t="s">
        <v>5060</v>
      </c>
      <c r="I185" s="170" t="s">
        <v>4470</v>
      </c>
      <c r="J185" s="170" t="s">
        <v>5105</v>
      </c>
    </row>
    <row r="186" spans="1:10" ht="26.45" thickBot="1">
      <c r="A186" s="155" t="s">
        <v>854</v>
      </c>
      <c r="B186" s="156" t="s">
        <v>4465</v>
      </c>
      <c r="C186" s="155" t="s">
        <v>4415</v>
      </c>
      <c r="D186" s="159" t="s">
        <v>4472</v>
      </c>
      <c r="E186" s="159" t="s">
        <v>2162</v>
      </c>
      <c r="G186" s="170" t="s">
        <v>5079</v>
      </c>
      <c r="H186" s="170" t="s">
        <v>5080</v>
      </c>
      <c r="I186" s="170" t="s">
        <v>4472</v>
      </c>
      <c r="J186" s="170" t="s">
        <v>5033</v>
      </c>
    </row>
    <row r="187" spans="1:10" ht="26.45" thickBot="1">
      <c r="A187" s="155" t="s">
        <v>854</v>
      </c>
      <c r="B187" s="156" t="s">
        <v>4465</v>
      </c>
      <c r="C187" s="155" t="s">
        <v>3291</v>
      </c>
      <c r="D187" s="159" t="s">
        <v>3292</v>
      </c>
      <c r="E187" s="167">
        <v>-0.5</v>
      </c>
      <c r="G187" s="170" t="s">
        <v>5026</v>
      </c>
      <c r="H187" s="170" t="s">
        <v>5027</v>
      </c>
      <c r="I187" s="170" t="s">
        <v>3292</v>
      </c>
      <c r="J187" s="170" t="s">
        <v>5058</v>
      </c>
    </row>
    <row r="188" spans="1:10" ht="26.45" thickBot="1">
      <c r="A188" s="155" t="s">
        <v>854</v>
      </c>
      <c r="B188" s="156" t="s">
        <v>4465</v>
      </c>
      <c r="C188" s="155" t="s">
        <v>510</v>
      </c>
      <c r="D188" s="159" t="s">
        <v>4473</v>
      </c>
      <c r="E188" s="159" t="s">
        <v>3925</v>
      </c>
      <c r="G188" s="170" t="s">
        <v>5026</v>
      </c>
      <c r="H188" s="170" t="s">
        <v>5027</v>
      </c>
      <c r="I188" s="170" t="s">
        <v>4473</v>
      </c>
      <c r="J188" s="170" t="s">
        <v>5032</v>
      </c>
    </row>
    <row r="189" spans="1:10" ht="26.45" thickBot="1">
      <c r="A189" s="155" t="s">
        <v>854</v>
      </c>
      <c r="B189" s="156" t="s">
        <v>4465</v>
      </c>
      <c r="C189" s="155" t="s">
        <v>5123</v>
      </c>
      <c r="D189" s="159" t="s">
        <v>4474</v>
      </c>
      <c r="E189" s="159" t="s">
        <v>1074</v>
      </c>
      <c r="G189" s="170" t="s">
        <v>5035</v>
      </c>
      <c r="H189" s="170" t="s">
        <v>5036</v>
      </c>
      <c r="I189" s="170" t="s">
        <v>4474</v>
      </c>
      <c r="J189" s="170" t="s">
        <v>5091</v>
      </c>
    </row>
    <row r="190" spans="1:10" ht="26.45" thickBot="1">
      <c r="A190" s="155" t="s">
        <v>854</v>
      </c>
      <c r="B190" s="156" t="s">
        <v>4465</v>
      </c>
      <c r="C190" s="155" t="s">
        <v>1443</v>
      </c>
      <c r="D190" s="159" t="s">
        <v>4475</v>
      </c>
      <c r="E190" s="167">
        <v>-0.75</v>
      </c>
      <c r="G190" s="170" t="s">
        <v>5039</v>
      </c>
      <c r="H190" s="170" t="s">
        <v>5040</v>
      </c>
      <c r="I190" s="170" t="s">
        <v>4475</v>
      </c>
      <c r="J190" s="170" t="s">
        <v>5066</v>
      </c>
    </row>
    <row r="191" spans="1:10" ht="13.5" thickBot="1"/>
    <row r="192" spans="1:10" ht="104.45" thickBot="1">
      <c r="A192" s="248" t="s">
        <v>5124</v>
      </c>
      <c r="B192" s="249"/>
      <c r="C192" s="250"/>
      <c r="D192" s="250"/>
      <c r="E192" s="251"/>
      <c r="F192" s="163"/>
      <c r="G192" s="169"/>
      <c r="H192" s="169"/>
      <c r="I192" s="169"/>
      <c r="J192" s="169"/>
    </row>
    <row r="193" spans="1:10" ht="13.5" thickBot="1">
      <c r="A193" s="248" t="s">
        <v>5125</v>
      </c>
      <c r="B193" s="249" t="s">
        <v>5126</v>
      </c>
      <c r="C193" s="250" t="s">
        <v>2265</v>
      </c>
      <c r="D193" s="250" t="s">
        <v>143</v>
      </c>
      <c r="E193" s="251" t="s">
        <v>2266</v>
      </c>
      <c r="F193" s="163" t="s">
        <v>2766</v>
      </c>
      <c r="G193" s="169" t="s">
        <v>5019</v>
      </c>
      <c r="H193" s="169" t="s">
        <v>5020</v>
      </c>
      <c r="I193" s="169" t="s">
        <v>5021</v>
      </c>
      <c r="J193" s="169" t="s">
        <v>5022</v>
      </c>
    </row>
    <row r="194" spans="1:10" ht="39.6" thickBot="1">
      <c r="A194" s="204" t="s">
        <v>5127</v>
      </c>
      <c r="B194" s="252" t="s">
        <v>5128</v>
      </c>
      <c r="C194" s="204" t="s">
        <v>1747</v>
      </c>
      <c r="D194" s="253" t="s">
        <v>1745</v>
      </c>
      <c r="E194" s="254" t="s">
        <v>5129</v>
      </c>
      <c r="F194" s="204" t="s">
        <v>5130</v>
      </c>
      <c r="G194" s="170" t="s">
        <v>5131</v>
      </c>
      <c r="H194" s="170" t="s">
        <v>5132</v>
      </c>
      <c r="I194" s="170" t="s">
        <v>1745</v>
      </c>
      <c r="J194" s="170" t="s">
        <v>1746</v>
      </c>
    </row>
    <row r="195" spans="1:10" ht="39.6" thickBot="1">
      <c r="A195" s="204" t="s">
        <v>5127</v>
      </c>
      <c r="B195" s="252" t="s">
        <v>5128</v>
      </c>
      <c r="C195" s="204" t="s">
        <v>1751</v>
      </c>
      <c r="D195" s="253" t="s">
        <v>1749</v>
      </c>
      <c r="E195" s="254" t="s">
        <v>5129</v>
      </c>
      <c r="F195" s="204" t="s">
        <v>5130</v>
      </c>
      <c r="G195" s="170" t="s">
        <v>5133</v>
      </c>
      <c r="H195" s="170" t="s">
        <v>5134</v>
      </c>
      <c r="I195" s="170" t="s">
        <v>1749</v>
      </c>
      <c r="J195" s="170" t="s">
        <v>1750</v>
      </c>
    </row>
    <row r="196" spans="1:10" ht="39.6" thickBot="1">
      <c r="A196" s="204" t="s">
        <v>5127</v>
      </c>
      <c r="B196" s="252" t="s">
        <v>5128</v>
      </c>
      <c r="C196" s="204" t="s">
        <v>1755</v>
      </c>
      <c r="D196" s="253" t="s">
        <v>1753</v>
      </c>
      <c r="E196" s="254" t="s">
        <v>5129</v>
      </c>
      <c r="F196" s="204" t="s">
        <v>5130</v>
      </c>
      <c r="G196" s="170" t="s">
        <v>5135</v>
      </c>
      <c r="H196" s="170" t="s">
        <v>5136</v>
      </c>
      <c r="I196" s="170" t="s">
        <v>1753</v>
      </c>
      <c r="J196" s="170" t="s">
        <v>1754</v>
      </c>
    </row>
    <row r="197" spans="1:10" ht="39.6" thickBot="1">
      <c r="A197" s="204" t="s">
        <v>5127</v>
      </c>
      <c r="B197" s="252" t="s">
        <v>5128</v>
      </c>
      <c r="C197" s="204" t="s">
        <v>1759</v>
      </c>
      <c r="D197" s="253" t="s">
        <v>1757</v>
      </c>
      <c r="E197" s="254" t="s">
        <v>5129</v>
      </c>
      <c r="F197" s="204" t="s">
        <v>5130</v>
      </c>
      <c r="G197" s="170" t="s">
        <v>5137</v>
      </c>
      <c r="H197" s="170" t="s">
        <v>5138</v>
      </c>
      <c r="I197" s="170" t="s">
        <v>1757</v>
      </c>
      <c r="J197" s="170" t="s">
        <v>1758</v>
      </c>
    </row>
    <row r="198" spans="1:10" ht="39.6" thickBot="1">
      <c r="A198" s="204" t="s">
        <v>5127</v>
      </c>
      <c r="B198" s="252" t="s">
        <v>5128</v>
      </c>
      <c r="C198" s="204" t="s">
        <v>1763</v>
      </c>
      <c r="D198" s="253" t="s">
        <v>1761</v>
      </c>
      <c r="E198" s="254" t="s">
        <v>5129</v>
      </c>
      <c r="F198" s="204" t="s">
        <v>5130</v>
      </c>
      <c r="G198" s="170" t="s">
        <v>5139</v>
      </c>
      <c r="H198" s="170" t="s">
        <v>5140</v>
      </c>
      <c r="I198" s="170" t="s">
        <v>1761</v>
      </c>
      <c r="J198" s="170" t="s">
        <v>1762</v>
      </c>
    </row>
    <row r="199" spans="1:10" ht="39.6" thickBot="1">
      <c r="A199" s="204" t="s">
        <v>5127</v>
      </c>
      <c r="B199" s="252" t="s">
        <v>5128</v>
      </c>
      <c r="C199" s="204" t="s">
        <v>1767</v>
      </c>
      <c r="D199" s="253" t="s">
        <v>1765</v>
      </c>
      <c r="E199" s="254" t="s">
        <v>5129</v>
      </c>
      <c r="F199" s="204" t="s">
        <v>5130</v>
      </c>
      <c r="G199" s="170" t="s">
        <v>5141</v>
      </c>
      <c r="H199" s="170" t="s">
        <v>5142</v>
      </c>
      <c r="I199" s="170" t="s">
        <v>1765</v>
      </c>
      <c r="J199" s="170" t="s">
        <v>1766</v>
      </c>
    </row>
    <row r="200" spans="1:10" ht="39.6" thickBot="1">
      <c r="A200" s="204" t="s">
        <v>5127</v>
      </c>
      <c r="B200" s="252" t="s">
        <v>5128</v>
      </c>
      <c r="C200" s="204" t="s">
        <v>1771</v>
      </c>
      <c r="D200" s="253" t="s">
        <v>1769</v>
      </c>
      <c r="E200" s="254" t="s">
        <v>5129</v>
      </c>
      <c r="F200" s="204" t="s">
        <v>5130</v>
      </c>
      <c r="G200" s="170" t="s">
        <v>5143</v>
      </c>
      <c r="H200" s="170" t="s">
        <v>5144</v>
      </c>
      <c r="I200" s="170" t="s">
        <v>1769</v>
      </c>
      <c r="J200" s="170" t="s">
        <v>1770</v>
      </c>
    </row>
    <row r="201" spans="1:10" ht="39.6" thickBot="1">
      <c r="A201" s="204" t="s">
        <v>5127</v>
      </c>
      <c r="B201" s="252" t="s">
        <v>5128</v>
      </c>
      <c r="C201" s="204" t="s">
        <v>1775</v>
      </c>
      <c r="D201" s="253" t="s">
        <v>1773</v>
      </c>
      <c r="E201" s="254" t="s">
        <v>5129</v>
      </c>
      <c r="F201" s="204" t="s">
        <v>5130</v>
      </c>
      <c r="G201" s="170" t="s">
        <v>5145</v>
      </c>
      <c r="H201" s="170" t="s">
        <v>5146</v>
      </c>
      <c r="I201" s="170" t="s">
        <v>1773</v>
      </c>
      <c r="J201" s="170" t="s">
        <v>1774</v>
      </c>
    </row>
    <row r="202" spans="1:10" ht="39.6" thickBot="1">
      <c r="A202" s="204" t="s">
        <v>5127</v>
      </c>
      <c r="B202" s="252" t="s">
        <v>5147</v>
      </c>
      <c r="C202" s="204" t="s">
        <v>1797</v>
      </c>
      <c r="D202" s="253" t="s">
        <v>1795</v>
      </c>
      <c r="E202" s="254" t="s">
        <v>5129</v>
      </c>
      <c r="F202" s="204" t="s">
        <v>5130</v>
      </c>
      <c r="G202" s="170" t="s">
        <v>5148</v>
      </c>
      <c r="H202" s="170" t="s">
        <v>5149</v>
      </c>
      <c r="I202" s="170" t="s">
        <v>1795</v>
      </c>
      <c r="J202" s="170" t="s">
        <v>1796</v>
      </c>
    </row>
    <row r="203" spans="1:10" ht="39.6" thickBot="1">
      <c r="A203" s="204" t="s">
        <v>5127</v>
      </c>
      <c r="B203" s="252" t="s">
        <v>5147</v>
      </c>
      <c r="C203" s="204" t="s">
        <v>1755</v>
      </c>
      <c r="D203" s="253" t="s">
        <v>1799</v>
      </c>
      <c r="E203" s="254" t="s">
        <v>5129</v>
      </c>
      <c r="F203" s="204" t="s">
        <v>5130</v>
      </c>
      <c r="G203" s="170" t="s">
        <v>5135</v>
      </c>
      <c r="H203" s="170" t="s">
        <v>5150</v>
      </c>
      <c r="I203" s="170" t="s">
        <v>1799</v>
      </c>
      <c r="J203" s="170" t="s">
        <v>1800</v>
      </c>
    </row>
    <row r="204" spans="1:10" ht="39.6" thickBot="1">
      <c r="A204" s="204" t="s">
        <v>5127</v>
      </c>
      <c r="B204" s="252" t="s">
        <v>5147</v>
      </c>
      <c r="C204" s="204" t="s">
        <v>1803</v>
      </c>
      <c r="D204" s="253" t="s">
        <v>1801</v>
      </c>
      <c r="E204" s="254" t="s">
        <v>5129</v>
      </c>
      <c r="F204" s="204" t="s">
        <v>5130</v>
      </c>
      <c r="G204" s="170" t="s">
        <v>5151</v>
      </c>
      <c r="H204" s="170" t="s">
        <v>5152</v>
      </c>
      <c r="I204" s="170" t="s">
        <v>1801</v>
      </c>
      <c r="J204" s="170" t="s">
        <v>1802</v>
      </c>
    </row>
    <row r="205" spans="1:10" ht="39.6" thickBot="1">
      <c r="A205" s="204" t="s">
        <v>5127</v>
      </c>
      <c r="B205" s="252" t="s">
        <v>5147</v>
      </c>
      <c r="C205" s="204" t="s">
        <v>1807</v>
      </c>
      <c r="D205" s="253" t="s">
        <v>1805</v>
      </c>
      <c r="E205" s="254" t="s">
        <v>5129</v>
      </c>
      <c r="F205" s="204" t="s">
        <v>5130</v>
      </c>
      <c r="G205" s="170" t="s">
        <v>5153</v>
      </c>
      <c r="H205" s="170" t="s">
        <v>5154</v>
      </c>
      <c r="I205" s="170" t="s">
        <v>1805</v>
      </c>
      <c r="J205" s="170" t="s">
        <v>1806</v>
      </c>
    </row>
    <row r="206" spans="1:10" ht="39.6" thickBot="1">
      <c r="A206" s="204" t="s">
        <v>5127</v>
      </c>
      <c r="B206" s="252" t="s">
        <v>5147</v>
      </c>
      <c r="C206" s="204" t="s">
        <v>1811</v>
      </c>
      <c r="D206" s="253" t="s">
        <v>1809</v>
      </c>
      <c r="E206" s="254" t="s">
        <v>5129</v>
      </c>
      <c r="F206" s="204" t="s">
        <v>5130</v>
      </c>
      <c r="G206" s="170" t="s">
        <v>5155</v>
      </c>
      <c r="H206" s="170" t="s">
        <v>5156</v>
      </c>
      <c r="I206" s="170" t="s">
        <v>1809</v>
      </c>
      <c r="J206" s="170" t="s">
        <v>1810</v>
      </c>
    </row>
    <row r="207" spans="1:10" ht="39.6" thickBot="1">
      <c r="A207" s="204" t="s">
        <v>5127</v>
      </c>
      <c r="B207" s="252" t="s">
        <v>5147</v>
      </c>
      <c r="C207" s="204" t="s">
        <v>1815</v>
      </c>
      <c r="D207" s="253" t="s">
        <v>1813</v>
      </c>
      <c r="E207" s="254" t="s">
        <v>5129</v>
      </c>
      <c r="F207" s="204" t="s">
        <v>5130</v>
      </c>
      <c r="G207" s="170" t="s">
        <v>5157</v>
      </c>
      <c r="H207" s="170" t="s">
        <v>5158</v>
      </c>
      <c r="I207" s="170" t="s">
        <v>1813</v>
      </c>
      <c r="J207" s="170" t="s">
        <v>1814</v>
      </c>
    </row>
    <row r="208" spans="1:10" ht="39.6" thickBot="1">
      <c r="A208" s="204" t="s">
        <v>5127</v>
      </c>
      <c r="B208" s="252" t="s">
        <v>5147</v>
      </c>
      <c r="C208" s="204" t="s">
        <v>1819</v>
      </c>
      <c r="D208" s="253" t="s">
        <v>1817</v>
      </c>
      <c r="E208" s="254" t="s">
        <v>5129</v>
      </c>
      <c r="F208" s="204" t="s">
        <v>5130</v>
      </c>
      <c r="G208" s="170" t="s">
        <v>5159</v>
      </c>
      <c r="H208" s="170" t="s">
        <v>5160</v>
      </c>
      <c r="I208" s="170" t="s">
        <v>1817</v>
      </c>
      <c r="J208" s="170" t="s">
        <v>1818</v>
      </c>
    </row>
    <row r="209" spans="1:10" ht="39.6" thickBot="1">
      <c r="A209" s="204" t="s">
        <v>5127</v>
      </c>
      <c r="B209" s="252" t="s">
        <v>5161</v>
      </c>
      <c r="C209" s="204" t="s">
        <v>1840</v>
      </c>
      <c r="D209" s="253" t="s">
        <v>1838</v>
      </c>
      <c r="E209" s="254" t="s">
        <v>5129</v>
      </c>
      <c r="F209" s="204" t="s">
        <v>5130</v>
      </c>
      <c r="G209" s="170" t="s">
        <v>5162</v>
      </c>
      <c r="H209" s="170" t="s">
        <v>5163</v>
      </c>
      <c r="I209" s="170" t="s">
        <v>1838</v>
      </c>
      <c r="J209" s="170" t="s">
        <v>1839</v>
      </c>
    </row>
    <row r="210" spans="1:10" ht="39.6" thickBot="1">
      <c r="A210" s="204" t="s">
        <v>5127</v>
      </c>
      <c r="B210" s="252" t="s">
        <v>5161</v>
      </c>
      <c r="C210" s="204" t="s">
        <v>1844</v>
      </c>
      <c r="D210" s="253" t="s">
        <v>1842</v>
      </c>
      <c r="E210" s="254" t="s">
        <v>5129</v>
      </c>
      <c r="F210" s="204" t="s">
        <v>5130</v>
      </c>
      <c r="G210" s="170" t="s">
        <v>5164</v>
      </c>
      <c r="H210" s="170" t="s">
        <v>5165</v>
      </c>
      <c r="I210" s="170" t="s">
        <v>1842</v>
      </c>
      <c r="J210" s="170" t="s">
        <v>1843</v>
      </c>
    </row>
    <row r="211" spans="1:10" ht="39.6" thickBot="1">
      <c r="A211" s="204" t="s">
        <v>5127</v>
      </c>
      <c r="B211" s="252" t="s">
        <v>5161</v>
      </c>
      <c r="C211" s="204" t="s">
        <v>1848</v>
      </c>
      <c r="D211" s="253" t="s">
        <v>1846</v>
      </c>
      <c r="E211" s="254" t="s">
        <v>5129</v>
      </c>
      <c r="F211" s="204" t="s">
        <v>5130</v>
      </c>
      <c r="G211" s="170" t="s">
        <v>5166</v>
      </c>
      <c r="H211" s="170" t="s">
        <v>5167</v>
      </c>
      <c r="I211" s="170" t="s">
        <v>1846</v>
      </c>
      <c r="J211" s="170" t="s">
        <v>1847</v>
      </c>
    </row>
    <row r="212" spans="1:10" ht="39.6" thickBot="1">
      <c r="A212" s="204" t="s">
        <v>5127</v>
      </c>
      <c r="B212" s="252" t="s">
        <v>5161</v>
      </c>
      <c r="C212" s="204" t="s">
        <v>1443</v>
      </c>
      <c r="D212" s="253" t="s">
        <v>1850</v>
      </c>
      <c r="E212" s="254" t="s">
        <v>5129</v>
      </c>
      <c r="F212" s="204" t="s">
        <v>5130</v>
      </c>
      <c r="G212" s="170" t="s">
        <v>5168</v>
      </c>
      <c r="H212" s="170" t="s">
        <v>5169</v>
      </c>
      <c r="I212" s="170" t="s">
        <v>1850</v>
      </c>
      <c r="J212" s="170" t="s">
        <v>1851</v>
      </c>
    </row>
    <row r="213" spans="1:10" ht="39.6" thickBot="1">
      <c r="A213" s="204" t="s">
        <v>5127</v>
      </c>
      <c r="B213" s="252" t="s">
        <v>5161</v>
      </c>
      <c r="C213" s="204" t="s">
        <v>1855</v>
      </c>
      <c r="D213" s="253" t="s">
        <v>1853</v>
      </c>
      <c r="E213" s="254" t="s">
        <v>5129</v>
      </c>
      <c r="F213" s="204" t="s">
        <v>5130</v>
      </c>
      <c r="G213" s="170" t="s">
        <v>5170</v>
      </c>
      <c r="H213" s="170" t="s">
        <v>5171</v>
      </c>
      <c r="I213" s="170" t="s">
        <v>1853</v>
      </c>
      <c r="J213" s="170" t="s">
        <v>1854</v>
      </c>
    </row>
    <row r="214" spans="1:10" ht="39.6" thickBot="1">
      <c r="A214" s="204" t="s">
        <v>5127</v>
      </c>
      <c r="B214" s="252" t="s">
        <v>5161</v>
      </c>
      <c r="C214" s="204" t="s">
        <v>1859</v>
      </c>
      <c r="D214" s="253" t="s">
        <v>1857</v>
      </c>
      <c r="E214" s="254" t="s">
        <v>5129</v>
      </c>
      <c r="F214" s="204" t="s">
        <v>5130</v>
      </c>
      <c r="G214" s="170" t="s">
        <v>5172</v>
      </c>
      <c r="H214" s="170" t="s">
        <v>5173</v>
      </c>
      <c r="I214" s="170" t="s">
        <v>1857</v>
      </c>
      <c r="J214" s="170" t="s">
        <v>1858</v>
      </c>
    </row>
    <row r="215" spans="1:10" ht="39.6" thickBot="1">
      <c r="A215" s="204" t="s">
        <v>5127</v>
      </c>
      <c r="B215" s="252" t="s">
        <v>5161</v>
      </c>
      <c r="C215" s="204" t="s">
        <v>1863</v>
      </c>
      <c r="D215" s="253" t="s">
        <v>1861</v>
      </c>
      <c r="E215" s="254" t="s">
        <v>5129</v>
      </c>
      <c r="F215" s="204" t="s">
        <v>5130</v>
      </c>
      <c r="G215" s="170" t="s">
        <v>5174</v>
      </c>
      <c r="H215" s="170" t="s">
        <v>5175</v>
      </c>
      <c r="I215" s="170" t="s">
        <v>1861</v>
      </c>
      <c r="J215" s="170" t="s">
        <v>1862</v>
      </c>
    </row>
    <row r="216" spans="1:10" ht="39.6" thickBot="1">
      <c r="A216" s="204" t="s">
        <v>5127</v>
      </c>
      <c r="B216" s="252" t="s">
        <v>5176</v>
      </c>
      <c r="C216" s="204" t="s">
        <v>1884</v>
      </c>
      <c r="D216" s="253" t="s">
        <v>1882</v>
      </c>
      <c r="E216" s="254" t="s">
        <v>5129</v>
      </c>
      <c r="F216" s="204" t="s">
        <v>5130</v>
      </c>
      <c r="G216" s="170" t="s">
        <v>5177</v>
      </c>
      <c r="H216" s="170" t="s">
        <v>5178</v>
      </c>
      <c r="I216" s="170" t="s">
        <v>1882</v>
      </c>
      <c r="J216" s="170" t="s">
        <v>1883</v>
      </c>
    </row>
    <row r="217" spans="1:10" ht="39.6" thickBot="1">
      <c r="A217" s="204" t="s">
        <v>5127</v>
      </c>
      <c r="B217" s="252" t="s">
        <v>5176</v>
      </c>
      <c r="C217" s="204" t="s">
        <v>1755</v>
      </c>
      <c r="D217" s="253" t="s">
        <v>1886</v>
      </c>
      <c r="E217" s="254" t="s">
        <v>5129</v>
      </c>
      <c r="F217" s="204" t="s">
        <v>5130</v>
      </c>
      <c r="G217" s="170" t="s">
        <v>5135</v>
      </c>
      <c r="H217" s="170" t="s">
        <v>5179</v>
      </c>
      <c r="I217" s="170" t="s">
        <v>1886</v>
      </c>
      <c r="J217" s="170" t="s">
        <v>1887</v>
      </c>
    </row>
    <row r="218" spans="1:10" ht="39.6" thickBot="1">
      <c r="A218" s="204" t="s">
        <v>5127</v>
      </c>
      <c r="B218" s="252" t="s">
        <v>5176</v>
      </c>
      <c r="C218" s="204" t="s">
        <v>1890</v>
      </c>
      <c r="D218" s="253" t="s">
        <v>1888</v>
      </c>
      <c r="E218" s="254" t="s">
        <v>5129</v>
      </c>
      <c r="F218" s="204" t="s">
        <v>5130</v>
      </c>
      <c r="G218" s="170" t="s">
        <v>5180</v>
      </c>
      <c r="H218" s="170" t="s">
        <v>5181</v>
      </c>
      <c r="I218" s="170" t="s">
        <v>1888</v>
      </c>
      <c r="J218" s="170" t="s">
        <v>1889</v>
      </c>
    </row>
    <row r="219" spans="1:10" ht="39.6" thickBot="1">
      <c r="A219" s="204" t="s">
        <v>5127</v>
      </c>
      <c r="B219" s="252" t="s">
        <v>5176</v>
      </c>
      <c r="C219" s="204" t="s">
        <v>481</v>
      </c>
      <c r="D219" s="253" t="s">
        <v>1892</v>
      </c>
      <c r="E219" s="254" t="s">
        <v>5129</v>
      </c>
      <c r="F219" s="204" t="s">
        <v>5130</v>
      </c>
      <c r="G219" s="170" t="s">
        <v>5182</v>
      </c>
      <c r="H219" s="170" t="s">
        <v>5183</v>
      </c>
      <c r="I219" s="170" t="s">
        <v>1892</v>
      </c>
      <c r="J219" s="170" t="s">
        <v>1893</v>
      </c>
    </row>
    <row r="220" spans="1:10" ht="39.6" thickBot="1">
      <c r="A220" s="204" t="s">
        <v>5127</v>
      </c>
      <c r="B220" s="252" t="s">
        <v>5176</v>
      </c>
      <c r="C220" s="204" t="s">
        <v>1897</v>
      </c>
      <c r="D220" s="253" t="s">
        <v>1895</v>
      </c>
      <c r="E220" s="254" t="s">
        <v>5129</v>
      </c>
      <c r="F220" s="204" t="s">
        <v>5130</v>
      </c>
      <c r="G220" s="170" t="s">
        <v>5184</v>
      </c>
      <c r="H220" s="170" t="s">
        <v>5185</v>
      </c>
      <c r="I220" s="170" t="s">
        <v>1895</v>
      </c>
      <c r="J220" s="170" t="s">
        <v>1896</v>
      </c>
    </row>
    <row r="221" spans="1:10" ht="39.6" thickBot="1">
      <c r="A221" s="204" t="s">
        <v>5127</v>
      </c>
      <c r="B221" s="252" t="s">
        <v>5176</v>
      </c>
      <c r="C221" s="204" t="s">
        <v>1443</v>
      </c>
      <c r="D221" s="253" t="s">
        <v>1899</v>
      </c>
      <c r="E221" s="254" t="s">
        <v>5129</v>
      </c>
      <c r="F221" s="204" t="s">
        <v>5130</v>
      </c>
      <c r="G221" s="170" t="s">
        <v>5168</v>
      </c>
      <c r="H221" s="170" t="s">
        <v>5186</v>
      </c>
      <c r="I221" s="170" t="s">
        <v>1899</v>
      </c>
      <c r="J221" s="170" t="s">
        <v>1900</v>
      </c>
    </row>
    <row r="222" spans="1:10" ht="39.6" thickBot="1">
      <c r="A222" s="204" t="s">
        <v>5127</v>
      </c>
      <c r="B222" s="252" t="s">
        <v>5176</v>
      </c>
      <c r="C222" s="204" t="s">
        <v>1903</v>
      </c>
      <c r="D222" s="253" t="s">
        <v>1901</v>
      </c>
      <c r="E222" s="254" t="s">
        <v>5129</v>
      </c>
      <c r="F222" s="204" t="s">
        <v>5130</v>
      </c>
      <c r="G222" s="170" t="s">
        <v>5187</v>
      </c>
      <c r="H222" s="170" t="s">
        <v>5188</v>
      </c>
      <c r="I222" s="170" t="s">
        <v>1901</v>
      </c>
      <c r="J222" s="170" t="s">
        <v>1902</v>
      </c>
    </row>
    <row r="223" spans="1:10" ht="39.6" thickBot="1">
      <c r="A223" s="204" t="s">
        <v>5127</v>
      </c>
      <c r="B223" s="252" t="s">
        <v>5176</v>
      </c>
      <c r="C223" s="204" t="s">
        <v>1907</v>
      </c>
      <c r="D223" s="253" t="s">
        <v>1905</v>
      </c>
      <c r="E223" s="254" t="s">
        <v>5129</v>
      </c>
      <c r="F223" s="204" t="s">
        <v>5130</v>
      </c>
      <c r="G223" s="170" t="s">
        <v>5189</v>
      </c>
      <c r="H223" s="170" t="s">
        <v>5190</v>
      </c>
      <c r="I223" s="170" t="s">
        <v>1905</v>
      </c>
      <c r="J223" s="170" t="s">
        <v>1906</v>
      </c>
    </row>
    <row r="224" spans="1:10" ht="39.6" thickBot="1">
      <c r="A224" s="204" t="s">
        <v>5127</v>
      </c>
      <c r="B224" s="252" t="s">
        <v>5176</v>
      </c>
      <c r="C224" s="204" t="s">
        <v>1911</v>
      </c>
      <c r="D224" s="253" t="s">
        <v>1909</v>
      </c>
      <c r="E224" s="254" t="s">
        <v>5129</v>
      </c>
      <c r="F224" s="204" t="s">
        <v>5130</v>
      </c>
      <c r="G224" s="170" t="s">
        <v>5191</v>
      </c>
      <c r="H224" s="170" t="s">
        <v>5192</v>
      </c>
      <c r="I224" s="170" t="s">
        <v>1909</v>
      </c>
      <c r="J224" s="170" t="s">
        <v>1910</v>
      </c>
    </row>
    <row r="225" spans="1:10" ht="39.6" thickBot="1">
      <c r="A225" s="204" t="s">
        <v>5127</v>
      </c>
      <c r="B225" s="252" t="s">
        <v>5176</v>
      </c>
      <c r="C225" s="204" t="s">
        <v>1914</v>
      </c>
      <c r="D225" s="253" t="s">
        <v>1525</v>
      </c>
      <c r="E225" s="254" t="s">
        <v>5129</v>
      </c>
      <c r="F225" s="204" t="s">
        <v>5130</v>
      </c>
      <c r="G225" s="170" t="s">
        <v>5193</v>
      </c>
      <c r="H225" s="170" t="s">
        <v>5194</v>
      </c>
      <c r="I225" s="170" t="s">
        <v>1525</v>
      </c>
      <c r="J225" s="170" t="s">
        <v>1913</v>
      </c>
    </row>
    <row r="226" spans="1:10" ht="39.6" thickBot="1">
      <c r="A226" s="204" t="s">
        <v>5127</v>
      </c>
      <c r="B226" s="252" t="s">
        <v>5195</v>
      </c>
      <c r="C226" s="204" t="s">
        <v>1935</v>
      </c>
      <c r="D226" s="253" t="s">
        <v>1933</v>
      </c>
      <c r="E226" s="254" t="s">
        <v>5129</v>
      </c>
      <c r="F226" s="204" t="s">
        <v>5130</v>
      </c>
      <c r="G226" s="170" t="s">
        <v>5196</v>
      </c>
      <c r="H226" s="170" t="s">
        <v>5197</v>
      </c>
      <c r="I226" s="170" t="s">
        <v>1933</v>
      </c>
      <c r="J226" s="170" t="s">
        <v>1934</v>
      </c>
    </row>
    <row r="227" spans="1:10" ht="39.6" thickBot="1">
      <c r="A227" s="204" t="s">
        <v>5127</v>
      </c>
      <c r="B227" s="252" t="s">
        <v>5195</v>
      </c>
      <c r="C227" s="204" t="s">
        <v>1939</v>
      </c>
      <c r="D227" s="253" t="s">
        <v>1937</v>
      </c>
      <c r="E227" s="254" t="s">
        <v>5129</v>
      </c>
      <c r="F227" s="204" t="s">
        <v>5130</v>
      </c>
      <c r="G227" s="170" t="s">
        <v>5198</v>
      </c>
      <c r="H227" s="170" t="s">
        <v>5199</v>
      </c>
      <c r="I227" s="170" t="s">
        <v>1937</v>
      </c>
      <c r="J227" s="170" t="s">
        <v>1938</v>
      </c>
    </row>
    <row r="228" spans="1:10" ht="39.6" thickBot="1">
      <c r="A228" s="204" t="s">
        <v>5127</v>
      </c>
      <c r="B228" s="252" t="s">
        <v>5195</v>
      </c>
      <c r="C228" s="204" t="s">
        <v>1943</v>
      </c>
      <c r="D228" s="253" t="s">
        <v>1941</v>
      </c>
      <c r="E228" s="254" t="s">
        <v>5129</v>
      </c>
      <c r="F228" s="204" t="s">
        <v>5130</v>
      </c>
      <c r="G228" s="170" t="s">
        <v>5200</v>
      </c>
      <c r="H228" s="170" t="s">
        <v>5201</v>
      </c>
      <c r="I228" s="170" t="s">
        <v>1941</v>
      </c>
      <c r="J228" s="170" t="s">
        <v>1942</v>
      </c>
    </row>
    <row r="229" spans="1:10" ht="39.6" thickBot="1">
      <c r="A229" s="204" t="s">
        <v>5127</v>
      </c>
      <c r="B229" s="252" t="s">
        <v>5195</v>
      </c>
      <c r="C229" s="204" t="s">
        <v>271</v>
      </c>
      <c r="D229" s="253" t="s">
        <v>1945</v>
      </c>
      <c r="E229" s="254" t="s">
        <v>5129</v>
      </c>
      <c r="F229" s="204" t="s">
        <v>5130</v>
      </c>
      <c r="G229" s="170" t="s">
        <v>5202</v>
      </c>
      <c r="H229" s="170" t="s">
        <v>5203</v>
      </c>
      <c r="I229" s="170" t="s">
        <v>1945</v>
      </c>
      <c r="J229" s="170" t="s">
        <v>1946</v>
      </c>
    </row>
    <row r="230" spans="1:10" ht="39.6" thickBot="1">
      <c r="A230" s="155" t="s">
        <v>5127</v>
      </c>
      <c r="B230" s="156" t="s">
        <v>5195</v>
      </c>
      <c r="C230" s="155" t="s">
        <v>1950</v>
      </c>
      <c r="D230" s="159" t="s">
        <v>1948</v>
      </c>
      <c r="E230" s="167" t="s">
        <v>5129</v>
      </c>
      <c r="F230" s="155" t="s">
        <v>5130</v>
      </c>
      <c r="G230" s="170" t="s">
        <v>5204</v>
      </c>
      <c r="H230" s="170" t="s">
        <v>5205</v>
      </c>
      <c r="I230" s="170" t="s">
        <v>1948</v>
      </c>
      <c r="J230" s="170" t="s">
        <v>1949</v>
      </c>
    </row>
    <row r="231" spans="1:10" ht="39.6" thickBot="1">
      <c r="A231" s="155" t="s">
        <v>5127</v>
      </c>
      <c r="B231" s="156" t="s">
        <v>5195</v>
      </c>
      <c r="C231" s="155" t="s">
        <v>1954</v>
      </c>
      <c r="D231" s="159" t="s">
        <v>1952</v>
      </c>
      <c r="E231" s="167" t="s">
        <v>5129</v>
      </c>
      <c r="F231" s="155" t="s">
        <v>5130</v>
      </c>
      <c r="G231" s="170" t="s">
        <v>5206</v>
      </c>
      <c r="H231" s="170" t="s">
        <v>5207</v>
      </c>
      <c r="I231" s="170" t="s">
        <v>1952</v>
      </c>
      <c r="J231" s="170" t="s">
        <v>1953</v>
      </c>
    </row>
  </sheetData>
  <autoFilter ref="A3:J24" xr:uid="{5485324F-89AA-4A08-A7D3-7571A1A1B54A}"/>
  <phoneticPr fontId="55" type="noConversion"/>
  <pageMargins left="0.7" right="0.7" top="0.75" bottom="0.75" header="0.3" footer="0.3"/>
  <pageSetup orientation="portrait" r:id="rId1"/>
  <headerFooter>
    <oddFooter>&amp;L_x000D_&amp;1#&amp;"Aptos"&amp;10&amp;K000000 Confidential-Internal</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192FB-94EF-4EF2-B628-33B5282309DB}">
  <dimension ref="A1:F119"/>
  <sheetViews>
    <sheetView topLeftCell="A26" workbookViewId="0">
      <selection activeCell="I11" sqref="I11:J11"/>
    </sheetView>
  </sheetViews>
  <sheetFormatPr defaultColWidth="8.7109375" defaultRowHeight="14.45"/>
  <cols>
    <col min="1" max="1" width="18.140625" style="116" customWidth="1"/>
    <col min="2" max="2" width="30" style="57" customWidth="1"/>
    <col min="3" max="3" width="33.5703125" style="57" customWidth="1"/>
    <col min="4" max="4" width="16.42578125" style="57" customWidth="1"/>
    <col min="5" max="5" width="31.85546875" style="57" customWidth="1"/>
    <col min="6" max="6" width="23.5703125" style="57" customWidth="1"/>
    <col min="7" max="16384" width="8.7109375" style="57"/>
  </cols>
  <sheetData>
    <row r="1" spans="1:6" customFormat="1" ht="32.1" customHeight="1">
      <c r="A1" s="338" t="s">
        <v>5208</v>
      </c>
      <c r="B1" s="338"/>
      <c r="C1" s="338"/>
      <c r="D1" s="338"/>
      <c r="E1" s="338"/>
      <c r="F1" s="338"/>
    </row>
    <row r="2" spans="1:6">
      <c r="A2" s="299" t="s">
        <v>5209</v>
      </c>
      <c r="B2" s="299"/>
      <c r="C2" s="299"/>
      <c r="D2" s="299"/>
      <c r="E2" s="299"/>
      <c r="F2" s="299"/>
    </row>
    <row r="3" spans="1:6">
      <c r="A3" s="57"/>
    </row>
    <row r="4" spans="1:6" ht="24" customHeight="1">
      <c r="A4" s="339" t="s">
        <v>2450</v>
      </c>
      <c r="B4" s="339"/>
      <c r="C4" s="339"/>
      <c r="D4" s="339"/>
      <c r="E4" s="339"/>
      <c r="F4" s="339"/>
    </row>
    <row r="5" spans="1:6" ht="21">
      <c r="A5" s="103" t="s">
        <v>5210</v>
      </c>
      <c r="B5" s="113">
        <f>COUNTA(D22:D51)</f>
        <v>30</v>
      </c>
      <c r="C5" s="103" t="s">
        <v>5211</v>
      </c>
      <c r="D5" s="113">
        <f>COUNTIF(D22:D51,"Defined")</f>
        <v>8</v>
      </c>
      <c r="E5" s="103" t="s">
        <v>5212</v>
      </c>
      <c r="F5" s="113">
        <f>COUNTIF(D22:D51,"Partial")+COUNTIF(D22:D51,"Evidence required")</f>
        <v>22</v>
      </c>
    </row>
    <row r="6" spans="1:6">
      <c r="A6" s="57"/>
    </row>
    <row r="7" spans="1:6" ht="24" customHeight="1">
      <c r="A7" s="339" t="s">
        <v>5213</v>
      </c>
      <c r="B7" s="339"/>
      <c r="C7" s="339"/>
      <c r="D7" s="339"/>
      <c r="E7" s="339"/>
      <c r="F7" s="339"/>
    </row>
    <row r="8" spans="1:6">
      <c r="A8" s="106" t="s">
        <v>5214</v>
      </c>
      <c r="B8" s="106" t="s">
        <v>5125</v>
      </c>
      <c r="C8" s="106" t="s">
        <v>5215</v>
      </c>
      <c r="D8" s="106" t="s">
        <v>5216</v>
      </c>
      <c r="E8" s="106" t="s">
        <v>5217</v>
      </c>
      <c r="F8" s="106" t="s">
        <v>5218</v>
      </c>
    </row>
    <row r="9" spans="1:6" ht="57.95">
      <c r="A9" s="107" t="s">
        <v>5219</v>
      </c>
      <c r="B9" s="107" t="s">
        <v>5220</v>
      </c>
      <c r="C9" s="107" t="s">
        <v>5221</v>
      </c>
      <c r="D9" s="114" t="s">
        <v>2478</v>
      </c>
      <c r="E9" s="107" t="s">
        <v>5222</v>
      </c>
      <c r="F9" s="107" t="s">
        <v>5223</v>
      </c>
    </row>
    <row r="10" spans="1:6" ht="57.95">
      <c r="A10" s="108" t="s">
        <v>5224</v>
      </c>
      <c r="B10" s="108" t="s">
        <v>5225</v>
      </c>
      <c r="C10" s="108" t="s">
        <v>5226</v>
      </c>
      <c r="D10" s="114" t="s">
        <v>2478</v>
      </c>
      <c r="E10" s="108" t="s">
        <v>5227</v>
      </c>
      <c r="F10" s="108" t="s">
        <v>5223</v>
      </c>
    </row>
    <row r="11" spans="1:6" ht="57.95">
      <c r="A11" s="107" t="s">
        <v>5228</v>
      </c>
      <c r="B11" s="107" t="s">
        <v>5229</v>
      </c>
      <c r="C11" s="107" t="s">
        <v>5230</v>
      </c>
      <c r="D11" s="114" t="s">
        <v>2478</v>
      </c>
      <c r="E11" s="107" t="s">
        <v>5231</v>
      </c>
      <c r="F11" s="107" t="s">
        <v>5223</v>
      </c>
    </row>
    <row r="12" spans="1:6" ht="43.5">
      <c r="A12" s="108" t="s">
        <v>5232</v>
      </c>
      <c r="B12" s="108" t="s">
        <v>5233</v>
      </c>
      <c r="C12" s="108" t="s">
        <v>5234</v>
      </c>
      <c r="D12" s="114" t="s">
        <v>2478</v>
      </c>
      <c r="E12" s="108" t="s">
        <v>5235</v>
      </c>
      <c r="F12" s="108" t="s">
        <v>5223</v>
      </c>
    </row>
    <row r="13" spans="1:6" customFormat="1" ht="57.95">
      <c r="A13" s="107" t="s">
        <v>5236</v>
      </c>
      <c r="B13" s="107" t="s">
        <v>5237</v>
      </c>
      <c r="C13" s="107" t="s">
        <v>5238</v>
      </c>
      <c r="D13" s="114" t="s">
        <v>2478</v>
      </c>
      <c r="E13" s="107" t="s">
        <v>5239</v>
      </c>
      <c r="F13" s="107" t="s">
        <v>5223</v>
      </c>
    </row>
    <row r="14" spans="1:6" ht="57.95">
      <c r="A14" s="108" t="s">
        <v>5240</v>
      </c>
      <c r="B14" s="108" t="s">
        <v>5241</v>
      </c>
      <c r="C14" s="108" t="s">
        <v>5242</v>
      </c>
      <c r="D14" s="114" t="s">
        <v>2478</v>
      </c>
      <c r="E14" s="108" t="s">
        <v>5243</v>
      </c>
      <c r="F14" s="108" t="s">
        <v>5223</v>
      </c>
    </row>
    <row r="15" spans="1:6" ht="57.95">
      <c r="A15" s="107" t="s">
        <v>5244</v>
      </c>
      <c r="B15" s="107" t="s">
        <v>5245</v>
      </c>
      <c r="C15" s="107" t="s">
        <v>5246</v>
      </c>
      <c r="D15" s="114" t="s">
        <v>2478</v>
      </c>
      <c r="E15" s="107" t="s">
        <v>5247</v>
      </c>
      <c r="F15" s="107" t="s">
        <v>5223</v>
      </c>
    </row>
    <row r="16" spans="1:6">
      <c r="A16" s="57"/>
    </row>
    <row r="17" spans="1:6" customFormat="1" ht="24" customHeight="1">
      <c r="A17" s="339" t="s">
        <v>5248</v>
      </c>
      <c r="B17" s="339"/>
      <c r="C17" s="339"/>
      <c r="D17" s="339"/>
      <c r="E17" s="339"/>
      <c r="F17" s="339"/>
    </row>
    <row r="18" spans="1:6" ht="75" customHeight="1">
      <c r="A18" s="337" t="s">
        <v>5249</v>
      </c>
      <c r="B18" s="337"/>
      <c r="C18" s="337"/>
      <c r="D18" s="337"/>
      <c r="E18" s="337"/>
      <c r="F18" s="337"/>
    </row>
    <row r="19" spans="1:6">
      <c r="A19" s="57"/>
    </row>
    <row r="20" spans="1:6" ht="24" customHeight="1">
      <c r="A20" s="339" t="s">
        <v>5250</v>
      </c>
      <c r="B20" s="339"/>
      <c r="C20" s="339"/>
      <c r="D20" s="339"/>
      <c r="E20" s="339"/>
      <c r="F20" s="339"/>
    </row>
    <row r="21" spans="1:6" ht="29.1">
      <c r="A21" s="106" t="s">
        <v>2456</v>
      </c>
      <c r="B21" s="106" t="s">
        <v>5251</v>
      </c>
      <c r="C21" s="106" t="s">
        <v>5252</v>
      </c>
      <c r="D21" s="106" t="s">
        <v>5253</v>
      </c>
      <c r="E21" s="106" t="s">
        <v>5254</v>
      </c>
      <c r="F21" s="106" t="s">
        <v>5255</v>
      </c>
    </row>
    <row r="22" spans="1:6" ht="29.1">
      <c r="A22" s="107" t="s">
        <v>5256</v>
      </c>
      <c r="B22" s="107" t="s">
        <v>5257</v>
      </c>
      <c r="C22" s="107" t="s">
        <v>5258</v>
      </c>
      <c r="D22" s="115" t="s">
        <v>5211</v>
      </c>
      <c r="E22" s="107" t="s">
        <v>5259</v>
      </c>
      <c r="F22" s="107" t="s">
        <v>5223</v>
      </c>
    </row>
    <row r="23" spans="1:6" ht="29.1">
      <c r="A23" s="108" t="s">
        <v>5256</v>
      </c>
      <c r="B23" s="108" t="s">
        <v>5260</v>
      </c>
      <c r="C23" s="108" t="s">
        <v>5261</v>
      </c>
      <c r="D23" s="114" t="s">
        <v>5262</v>
      </c>
      <c r="E23" s="108" t="s">
        <v>5263</v>
      </c>
      <c r="F23" s="108" t="s">
        <v>5264</v>
      </c>
    </row>
    <row r="24" spans="1:6" ht="29.1">
      <c r="A24" s="107" t="s">
        <v>5256</v>
      </c>
      <c r="B24" s="107" t="s">
        <v>5265</v>
      </c>
      <c r="C24" s="107" t="s">
        <v>5266</v>
      </c>
      <c r="D24" s="114" t="s">
        <v>5262</v>
      </c>
      <c r="E24" s="107" t="s">
        <v>5267</v>
      </c>
      <c r="F24" s="107" t="s">
        <v>5264</v>
      </c>
    </row>
    <row r="25" spans="1:6" ht="29.1">
      <c r="A25" s="108" t="s">
        <v>5268</v>
      </c>
      <c r="B25" s="108" t="s">
        <v>5269</v>
      </c>
      <c r="C25" s="108" t="s">
        <v>5270</v>
      </c>
      <c r="D25" s="115" t="s">
        <v>5211</v>
      </c>
      <c r="E25" s="108" t="s">
        <v>5271</v>
      </c>
      <c r="F25" s="108" t="s">
        <v>5223</v>
      </c>
    </row>
    <row r="26" spans="1:6" ht="29.1">
      <c r="A26" s="107" t="s">
        <v>5268</v>
      </c>
      <c r="B26" s="107" t="s">
        <v>5272</v>
      </c>
      <c r="C26" s="107" t="s">
        <v>5273</v>
      </c>
      <c r="D26" s="115" t="s">
        <v>5211</v>
      </c>
      <c r="E26" s="107" t="s">
        <v>5274</v>
      </c>
      <c r="F26" s="107" t="s">
        <v>5223</v>
      </c>
    </row>
    <row r="27" spans="1:6" ht="29.1">
      <c r="A27" s="108" t="s">
        <v>5268</v>
      </c>
      <c r="B27" s="108" t="s">
        <v>5275</v>
      </c>
      <c r="C27" s="108" t="s">
        <v>5276</v>
      </c>
      <c r="D27" s="114" t="s">
        <v>2478</v>
      </c>
      <c r="E27" s="108" t="s">
        <v>5277</v>
      </c>
      <c r="F27" s="108" t="s">
        <v>5264</v>
      </c>
    </row>
    <row r="28" spans="1:6" ht="29.1">
      <c r="A28" s="107" t="s">
        <v>5278</v>
      </c>
      <c r="B28" s="107" t="s">
        <v>5279</v>
      </c>
      <c r="C28" s="107" t="s">
        <v>5280</v>
      </c>
      <c r="D28" s="115" t="s">
        <v>5211</v>
      </c>
      <c r="E28" s="107" t="s">
        <v>5281</v>
      </c>
      <c r="F28" s="107" t="s">
        <v>5223</v>
      </c>
    </row>
    <row r="29" spans="1:6" ht="29.1">
      <c r="A29" s="108" t="s">
        <v>5278</v>
      </c>
      <c r="B29" s="108" t="s">
        <v>5282</v>
      </c>
      <c r="C29" s="108" t="s">
        <v>5283</v>
      </c>
      <c r="D29" s="114" t="s">
        <v>2478</v>
      </c>
      <c r="E29" s="108" t="s">
        <v>5284</v>
      </c>
      <c r="F29" s="108" t="s">
        <v>5264</v>
      </c>
    </row>
    <row r="30" spans="1:6" ht="29.1">
      <c r="A30" s="107" t="s">
        <v>5278</v>
      </c>
      <c r="B30" s="107" t="s">
        <v>5285</v>
      </c>
      <c r="C30" s="107" t="s">
        <v>5286</v>
      </c>
      <c r="D30" s="115" t="s">
        <v>5211</v>
      </c>
      <c r="E30" s="107" t="s">
        <v>5287</v>
      </c>
      <c r="F30" s="107" t="s">
        <v>5223</v>
      </c>
    </row>
    <row r="31" spans="1:6" ht="29.1">
      <c r="A31" s="108" t="s">
        <v>5278</v>
      </c>
      <c r="B31" s="108" t="s">
        <v>5288</v>
      </c>
      <c r="C31" s="108" t="s">
        <v>5289</v>
      </c>
      <c r="D31" s="114" t="s">
        <v>2478</v>
      </c>
      <c r="E31" s="108" t="s">
        <v>5290</v>
      </c>
      <c r="F31" s="108" t="s">
        <v>5264</v>
      </c>
    </row>
    <row r="32" spans="1:6" ht="29.1">
      <c r="A32" s="107" t="s">
        <v>5291</v>
      </c>
      <c r="B32" s="107" t="s">
        <v>5292</v>
      </c>
      <c r="C32" s="107" t="s">
        <v>5293</v>
      </c>
      <c r="D32" s="115" t="s">
        <v>5211</v>
      </c>
      <c r="E32" s="107" t="s">
        <v>5294</v>
      </c>
      <c r="F32" s="107" t="s">
        <v>5223</v>
      </c>
    </row>
    <row r="33" spans="1:6" ht="29.1">
      <c r="A33" s="108" t="s">
        <v>5291</v>
      </c>
      <c r="B33" s="108" t="s">
        <v>5295</v>
      </c>
      <c r="C33" s="108" t="s">
        <v>5296</v>
      </c>
      <c r="D33" s="114" t="s">
        <v>2478</v>
      </c>
      <c r="E33" s="108" t="s">
        <v>5297</v>
      </c>
      <c r="F33" s="108" t="s">
        <v>5264</v>
      </c>
    </row>
    <row r="34" spans="1:6" ht="29.1">
      <c r="A34" s="107" t="s">
        <v>5291</v>
      </c>
      <c r="B34" s="107" t="s">
        <v>5298</v>
      </c>
      <c r="C34" s="107" t="s">
        <v>5299</v>
      </c>
      <c r="D34" s="114" t="s">
        <v>2478</v>
      </c>
      <c r="E34" s="107" t="s">
        <v>5300</v>
      </c>
      <c r="F34" s="107" t="s">
        <v>5264</v>
      </c>
    </row>
    <row r="35" spans="1:6" ht="29.1">
      <c r="A35" s="108" t="s">
        <v>5291</v>
      </c>
      <c r="B35" s="108" t="s">
        <v>5301</v>
      </c>
      <c r="C35" s="108" t="s">
        <v>5302</v>
      </c>
      <c r="D35" s="114" t="s">
        <v>2478</v>
      </c>
      <c r="E35" s="108" t="s">
        <v>5303</v>
      </c>
      <c r="F35" s="108" t="s">
        <v>5264</v>
      </c>
    </row>
    <row r="36" spans="1:6" ht="29.1">
      <c r="A36" s="107" t="s">
        <v>5291</v>
      </c>
      <c r="B36" s="107" t="s">
        <v>5304</v>
      </c>
      <c r="C36" s="107" t="s">
        <v>5305</v>
      </c>
      <c r="D36" s="114" t="s">
        <v>5262</v>
      </c>
      <c r="E36" s="107" t="s">
        <v>5306</v>
      </c>
      <c r="F36" s="107" t="s">
        <v>5264</v>
      </c>
    </row>
    <row r="37" spans="1:6" ht="29.1">
      <c r="A37" s="108" t="s">
        <v>5307</v>
      </c>
      <c r="B37" s="108" t="s">
        <v>5308</v>
      </c>
      <c r="C37" s="108" t="s">
        <v>5309</v>
      </c>
      <c r="D37" s="114" t="s">
        <v>2478</v>
      </c>
      <c r="E37" s="108" t="s">
        <v>5310</v>
      </c>
      <c r="F37" s="108" t="s">
        <v>5264</v>
      </c>
    </row>
    <row r="38" spans="1:6" ht="29.1">
      <c r="A38" s="107" t="s">
        <v>5307</v>
      </c>
      <c r="B38" s="107" t="s">
        <v>5311</v>
      </c>
      <c r="C38" s="107" t="s">
        <v>5312</v>
      </c>
      <c r="D38" s="114" t="s">
        <v>2478</v>
      </c>
      <c r="E38" s="107" t="s">
        <v>5313</v>
      </c>
      <c r="F38" s="107" t="s">
        <v>5264</v>
      </c>
    </row>
    <row r="39" spans="1:6" ht="29.1">
      <c r="A39" s="108" t="s">
        <v>5307</v>
      </c>
      <c r="B39" s="108" t="s">
        <v>5314</v>
      </c>
      <c r="C39" s="108" t="s">
        <v>5315</v>
      </c>
      <c r="D39" s="114" t="s">
        <v>2478</v>
      </c>
      <c r="E39" s="108" t="s">
        <v>5316</v>
      </c>
      <c r="F39" s="108" t="s">
        <v>5264</v>
      </c>
    </row>
    <row r="40" spans="1:6" ht="29.1">
      <c r="A40" s="107" t="s">
        <v>5307</v>
      </c>
      <c r="B40" s="107" t="s">
        <v>5317</v>
      </c>
      <c r="C40" s="107" t="s">
        <v>5318</v>
      </c>
      <c r="D40" s="114" t="s">
        <v>5262</v>
      </c>
      <c r="E40" s="107" t="s">
        <v>5319</v>
      </c>
      <c r="F40" s="107" t="s">
        <v>5264</v>
      </c>
    </row>
    <row r="41" spans="1:6" ht="29.1">
      <c r="A41" s="108" t="s">
        <v>2962</v>
      </c>
      <c r="B41" s="108" t="s">
        <v>5320</v>
      </c>
      <c r="C41" s="108" t="s">
        <v>5321</v>
      </c>
      <c r="D41" s="115" t="s">
        <v>5211</v>
      </c>
      <c r="E41" s="108" t="s">
        <v>5322</v>
      </c>
      <c r="F41" s="108" t="s">
        <v>5223</v>
      </c>
    </row>
    <row r="42" spans="1:6" ht="29.1">
      <c r="A42" s="107" t="s">
        <v>2962</v>
      </c>
      <c r="B42" s="107" t="s">
        <v>5323</v>
      </c>
      <c r="C42" s="107" t="s">
        <v>5324</v>
      </c>
      <c r="D42" s="115" t="s">
        <v>5211</v>
      </c>
      <c r="E42" s="107" t="s">
        <v>5325</v>
      </c>
      <c r="F42" s="107" t="s">
        <v>5223</v>
      </c>
    </row>
    <row r="43" spans="1:6" ht="29.1">
      <c r="A43" s="108" t="s">
        <v>2962</v>
      </c>
      <c r="B43" s="108" t="s">
        <v>5326</v>
      </c>
      <c r="C43" s="108" t="s">
        <v>5327</v>
      </c>
      <c r="D43" s="114" t="s">
        <v>2478</v>
      </c>
      <c r="E43" s="108" t="s">
        <v>5328</v>
      </c>
      <c r="F43" s="108" t="s">
        <v>5264</v>
      </c>
    </row>
    <row r="44" spans="1:6" ht="29.1">
      <c r="A44" s="107" t="s">
        <v>2962</v>
      </c>
      <c r="B44" s="107" t="s">
        <v>5329</v>
      </c>
      <c r="C44" s="107" t="s">
        <v>5330</v>
      </c>
      <c r="D44" s="114" t="s">
        <v>5262</v>
      </c>
      <c r="E44" s="107" t="s">
        <v>5331</v>
      </c>
      <c r="F44" s="107" t="s">
        <v>5264</v>
      </c>
    </row>
    <row r="45" spans="1:6" ht="29.1">
      <c r="A45" s="108" t="s">
        <v>2962</v>
      </c>
      <c r="B45" s="108" t="s">
        <v>5332</v>
      </c>
      <c r="C45" s="108" t="s">
        <v>5333</v>
      </c>
      <c r="D45" s="114" t="s">
        <v>2478</v>
      </c>
      <c r="E45" s="108" t="s">
        <v>5334</v>
      </c>
      <c r="F45" s="108" t="s">
        <v>5264</v>
      </c>
    </row>
    <row r="46" spans="1:6" ht="29.1">
      <c r="A46" s="107" t="s">
        <v>5335</v>
      </c>
      <c r="B46" s="107" t="s">
        <v>5336</v>
      </c>
      <c r="C46" s="107" t="s">
        <v>5337</v>
      </c>
      <c r="D46" s="114" t="s">
        <v>2478</v>
      </c>
      <c r="E46" s="107" t="s">
        <v>5338</v>
      </c>
      <c r="F46" s="107" t="s">
        <v>5264</v>
      </c>
    </row>
    <row r="47" spans="1:6" ht="29.1">
      <c r="A47" s="108" t="s">
        <v>5335</v>
      </c>
      <c r="B47" s="108" t="s">
        <v>5339</v>
      </c>
      <c r="C47" s="108" t="s">
        <v>5340</v>
      </c>
      <c r="D47" s="114" t="s">
        <v>2478</v>
      </c>
      <c r="E47" s="108" t="s">
        <v>5341</v>
      </c>
      <c r="F47" s="108" t="s">
        <v>5264</v>
      </c>
    </row>
    <row r="48" spans="1:6" ht="29.1">
      <c r="A48" s="107" t="s">
        <v>5335</v>
      </c>
      <c r="B48" s="107" t="s">
        <v>5342</v>
      </c>
      <c r="C48" s="107" t="s">
        <v>5343</v>
      </c>
      <c r="D48" s="114" t="s">
        <v>5262</v>
      </c>
      <c r="E48" s="107" t="s">
        <v>5344</v>
      </c>
      <c r="F48" s="107" t="s">
        <v>5264</v>
      </c>
    </row>
    <row r="49" spans="1:6" ht="29.1">
      <c r="A49" s="108" t="s">
        <v>659</v>
      </c>
      <c r="B49" s="108" t="s">
        <v>5345</v>
      </c>
      <c r="C49" s="108" t="s">
        <v>5346</v>
      </c>
      <c r="D49" s="114" t="s">
        <v>2478</v>
      </c>
      <c r="E49" s="108" t="s">
        <v>5347</v>
      </c>
      <c r="F49" s="108" t="s">
        <v>5264</v>
      </c>
    </row>
    <row r="50" spans="1:6" ht="29.1">
      <c r="A50" s="107" t="s">
        <v>3112</v>
      </c>
      <c r="B50" s="107" t="s">
        <v>5348</v>
      </c>
      <c r="C50" s="107" t="s">
        <v>5349</v>
      </c>
      <c r="D50" s="114" t="s">
        <v>2478</v>
      </c>
      <c r="E50" s="107" t="s">
        <v>5350</v>
      </c>
      <c r="F50" s="107" t="s">
        <v>5264</v>
      </c>
    </row>
    <row r="51" spans="1:6" ht="29.1">
      <c r="A51" s="108" t="s">
        <v>3112</v>
      </c>
      <c r="B51" s="108" t="s">
        <v>5351</v>
      </c>
      <c r="C51" s="108" t="s">
        <v>5352</v>
      </c>
      <c r="D51" s="114" t="s">
        <v>2478</v>
      </c>
      <c r="E51" s="108" t="s">
        <v>5353</v>
      </c>
      <c r="F51" s="108" t="s">
        <v>5264</v>
      </c>
    </row>
    <row r="52" spans="1:6">
      <c r="A52" s="57"/>
    </row>
    <row r="53" spans="1:6" ht="24" customHeight="1">
      <c r="A53" s="339" t="s">
        <v>5354</v>
      </c>
      <c r="B53" s="339"/>
      <c r="C53" s="339"/>
      <c r="D53" s="339"/>
      <c r="E53" s="339"/>
      <c r="F53" s="339"/>
    </row>
    <row r="54" spans="1:6">
      <c r="A54" s="106" t="s">
        <v>5355</v>
      </c>
      <c r="B54" s="106" t="s">
        <v>5356</v>
      </c>
      <c r="C54" s="106" t="s">
        <v>5357</v>
      </c>
      <c r="D54" s="106" t="s">
        <v>5358</v>
      </c>
      <c r="E54" s="106" t="s">
        <v>5359</v>
      </c>
      <c r="F54" s="106" t="s">
        <v>5255</v>
      </c>
    </row>
    <row r="55" spans="1:6" ht="29.1">
      <c r="A55" s="107" t="s">
        <v>5360</v>
      </c>
      <c r="B55" s="107" t="s">
        <v>5361</v>
      </c>
      <c r="C55" s="107" t="s">
        <v>5362</v>
      </c>
      <c r="D55" s="114" t="s">
        <v>2478</v>
      </c>
      <c r="E55" s="107" t="s">
        <v>5363</v>
      </c>
      <c r="F55" s="107" t="s">
        <v>5223</v>
      </c>
    </row>
    <row r="56" spans="1:6" ht="29.1">
      <c r="A56" s="108" t="s">
        <v>5364</v>
      </c>
      <c r="B56" s="108" t="s">
        <v>5365</v>
      </c>
      <c r="C56" s="108" t="s">
        <v>5366</v>
      </c>
      <c r="D56" s="114" t="s">
        <v>2478</v>
      </c>
      <c r="E56" s="108" t="s">
        <v>5367</v>
      </c>
      <c r="F56" s="108" t="s">
        <v>5223</v>
      </c>
    </row>
    <row r="57" spans="1:6" ht="29.1">
      <c r="A57" s="107" t="s">
        <v>5368</v>
      </c>
      <c r="B57" s="107" t="s">
        <v>5369</v>
      </c>
      <c r="C57" s="107" t="s">
        <v>5370</v>
      </c>
      <c r="D57" s="114" t="s">
        <v>2478</v>
      </c>
      <c r="E57" s="107" t="s">
        <v>5371</v>
      </c>
      <c r="F57" s="107" t="s">
        <v>5223</v>
      </c>
    </row>
    <row r="58" spans="1:6" ht="29.1">
      <c r="A58" s="108" t="s">
        <v>5372</v>
      </c>
      <c r="B58" s="108" t="s">
        <v>5373</v>
      </c>
      <c r="C58" s="108" t="s">
        <v>5374</v>
      </c>
      <c r="D58" s="114" t="s">
        <v>5262</v>
      </c>
      <c r="E58" s="108" t="s">
        <v>5375</v>
      </c>
      <c r="F58" s="108" t="s">
        <v>5376</v>
      </c>
    </row>
    <row r="59" spans="1:6" ht="29.1">
      <c r="A59" s="107" t="s">
        <v>5377</v>
      </c>
      <c r="B59" s="107" t="s">
        <v>5378</v>
      </c>
      <c r="C59" s="107" t="s">
        <v>5379</v>
      </c>
      <c r="D59" s="114" t="s">
        <v>5262</v>
      </c>
      <c r="E59" s="107" t="s">
        <v>5380</v>
      </c>
      <c r="F59" s="107" t="s">
        <v>5376</v>
      </c>
    </row>
    <row r="60" spans="1:6" ht="29.1">
      <c r="A60" s="108" t="s">
        <v>5381</v>
      </c>
      <c r="B60" s="108" t="s">
        <v>5382</v>
      </c>
      <c r="C60" s="108" t="s">
        <v>5383</v>
      </c>
      <c r="D60" s="114" t="s">
        <v>5262</v>
      </c>
      <c r="E60" s="108" t="s">
        <v>5384</v>
      </c>
      <c r="F60" s="108" t="s">
        <v>5376</v>
      </c>
    </row>
    <row r="61" spans="1:6" ht="29.1">
      <c r="A61" s="107" t="s">
        <v>5385</v>
      </c>
      <c r="B61" s="107" t="s">
        <v>5386</v>
      </c>
      <c r="C61" s="107" t="s">
        <v>5387</v>
      </c>
      <c r="D61" s="114" t="s">
        <v>5388</v>
      </c>
      <c r="E61" s="107" t="s">
        <v>5389</v>
      </c>
      <c r="F61" s="107" t="s">
        <v>5390</v>
      </c>
    </row>
    <row r="62" spans="1:6">
      <c r="A62" s="57"/>
    </row>
    <row r="63" spans="1:6" ht="24" customHeight="1">
      <c r="A63" s="339" t="s">
        <v>5391</v>
      </c>
      <c r="B63" s="339"/>
      <c r="C63" s="339"/>
      <c r="D63" s="339"/>
      <c r="E63" s="339"/>
      <c r="F63" s="339"/>
    </row>
    <row r="64" spans="1:6">
      <c r="A64" s="106" t="s">
        <v>2195</v>
      </c>
      <c r="B64" s="106" t="s">
        <v>5392</v>
      </c>
      <c r="C64" s="106" t="s">
        <v>5393</v>
      </c>
      <c r="D64" s="106" t="s">
        <v>5216</v>
      </c>
      <c r="E64" s="106" t="s">
        <v>5394</v>
      </c>
      <c r="F64" s="106" t="s">
        <v>5395</v>
      </c>
    </row>
    <row r="65" spans="1:6" ht="29.1">
      <c r="A65" s="107" t="s">
        <v>5396</v>
      </c>
      <c r="B65" s="107" t="s">
        <v>5397</v>
      </c>
      <c r="C65" s="107" t="s">
        <v>5398</v>
      </c>
      <c r="D65" s="114" t="s">
        <v>2478</v>
      </c>
      <c r="E65" s="107" t="s">
        <v>5399</v>
      </c>
      <c r="F65" s="107" t="s">
        <v>5400</v>
      </c>
    </row>
    <row r="66" spans="1:6" ht="29.1">
      <c r="A66" s="108" t="s">
        <v>5401</v>
      </c>
      <c r="B66" s="108" t="s">
        <v>5397</v>
      </c>
      <c r="C66" s="108" t="s">
        <v>5402</v>
      </c>
      <c r="D66" s="114" t="s">
        <v>2478</v>
      </c>
      <c r="E66" s="108" t="s">
        <v>5403</v>
      </c>
      <c r="F66" s="108" t="s">
        <v>5360</v>
      </c>
    </row>
    <row r="67" spans="1:6">
      <c r="A67" s="107" t="s">
        <v>5404</v>
      </c>
      <c r="B67" s="107" t="s">
        <v>5397</v>
      </c>
      <c r="C67" s="107" t="s">
        <v>5405</v>
      </c>
      <c r="D67" s="115" t="s">
        <v>5406</v>
      </c>
      <c r="E67" s="107" t="s">
        <v>5407</v>
      </c>
      <c r="F67" s="107" t="s">
        <v>5360</v>
      </c>
    </row>
    <row r="68" spans="1:6" ht="29.1">
      <c r="A68" s="108" t="s">
        <v>5408</v>
      </c>
      <c r="B68" s="108" t="s">
        <v>5397</v>
      </c>
      <c r="C68" s="108" t="s">
        <v>5409</v>
      </c>
      <c r="D68" s="114" t="s">
        <v>2478</v>
      </c>
      <c r="E68" s="108" t="s">
        <v>5410</v>
      </c>
      <c r="F68" s="108" t="s">
        <v>5364</v>
      </c>
    </row>
    <row r="69" spans="1:6" ht="29.1">
      <c r="A69" s="107" t="s">
        <v>5411</v>
      </c>
      <c r="B69" s="107" t="s">
        <v>5397</v>
      </c>
      <c r="C69" s="107" t="s">
        <v>5412</v>
      </c>
      <c r="D69" s="114" t="s">
        <v>5262</v>
      </c>
      <c r="E69" s="107" t="s">
        <v>5413</v>
      </c>
      <c r="F69" s="107" t="s">
        <v>5414</v>
      </c>
    </row>
    <row r="70" spans="1:6" ht="29.1">
      <c r="A70" s="108" t="s">
        <v>5415</v>
      </c>
      <c r="B70" s="108" t="s">
        <v>5397</v>
      </c>
      <c r="C70" s="108" t="s">
        <v>5416</v>
      </c>
      <c r="D70" s="114" t="s">
        <v>5262</v>
      </c>
      <c r="E70" s="108" t="s">
        <v>5417</v>
      </c>
      <c r="F70" s="108" t="s">
        <v>5368</v>
      </c>
    </row>
    <row r="71" spans="1:6" ht="29.1">
      <c r="A71" s="107" t="s">
        <v>5418</v>
      </c>
      <c r="B71" s="107" t="s">
        <v>5397</v>
      </c>
      <c r="C71" s="107" t="s">
        <v>5419</v>
      </c>
      <c r="D71" s="114" t="s">
        <v>2478</v>
      </c>
      <c r="E71" s="107" t="s">
        <v>5420</v>
      </c>
      <c r="F71" s="107" t="s">
        <v>5364</v>
      </c>
    </row>
    <row r="72" spans="1:6" ht="29.1">
      <c r="A72" s="108" t="s">
        <v>5421</v>
      </c>
      <c r="B72" s="108" t="s">
        <v>5397</v>
      </c>
      <c r="C72" s="108" t="s">
        <v>5422</v>
      </c>
      <c r="D72" s="114" t="s">
        <v>5262</v>
      </c>
      <c r="E72" s="108" t="s">
        <v>5423</v>
      </c>
      <c r="F72" s="108" t="s">
        <v>5364</v>
      </c>
    </row>
    <row r="73" spans="1:6" ht="29.1">
      <c r="A73" s="107" t="s">
        <v>5424</v>
      </c>
      <c r="B73" s="107" t="s">
        <v>5397</v>
      </c>
      <c r="C73" s="107" t="s">
        <v>5425</v>
      </c>
      <c r="D73" s="114" t="s">
        <v>2478</v>
      </c>
      <c r="E73" s="107" t="s">
        <v>5426</v>
      </c>
      <c r="F73" s="107" t="s">
        <v>5372</v>
      </c>
    </row>
    <row r="74" spans="1:6">
      <c r="A74" s="108" t="s">
        <v>5427</v>
      </c>
      <c r="B74" s="108" t="s">
        <v>5397</v>
      </c>
      <c r="C74" s="108" t="s">
        <v>5428</v>
      </c>
      <c r="D74" s="114" t="s">
        <v>5262</v>
      </c>
      <c r="E74" s="108" t="s">
        <v>5429</v>
      </c>
      <c r="F74" s="108" t="s">
        <v>5377</v>
      </c>
    </row>
    <row r="75" spans="1:6">
      <c r="A75" s="107" t="s">
        <v>5430</v>
      </c>
      <c r="B75" s="107" t="s">
        <v>5397</v>
      </c>
      <c r="C75" s="107" t="s">
        <v>5431</v>
      </c>
      <c r="D75" s="114" t="s">
        <v>5262</v>
      </c>
      <c r="E75" s="107" t="s">
        <v>5432</v>
      </c>
      <c r="F75" s="107" t="s">
        <v>5377</v>
      </c>
    </row>
    <row r="76" spans="1:6" ht="29.1">
      <c r="A76" s="108" t="s">
        <v>4561</v>
      </c>
      <c r="B76" s="108" t="s">
        <v>5397</v>
      </c>
      <c r="C76" s="108" t="s">
        <v>5433</v>
      </c>
      <c r="D76" s="114" t="s">
        <v>2478</v>
      </c>
      <c r="E76" s="108" t="s">
        <v>5434</v>
      </c>
      <c r="F76" s="108" t="s">
        <v>5435</v>
      </c>
    </row>
    <row r="77" spans="1:6" customFormat="1" ht="43.5">
      <c r="A77" s="107" t="s">
        <v>5436</v>
      </c>
      <c r="B77" s="107" t="s">
        <v>5397</v>
      </c>
      <c r="C77" s="107" t="s">
        <v>5437</v>
      </c>
      <c r="D77" s="114" t="s">
        <v>5262</v>
      </c>
      <c r="E77" s="107" t="s">
        <v>5438</v>
      </c>
      <c r="F77" s="107" t="s">
        <v>5377</v>
      </c>
    </row>
    <row r="78" spans="1:6" ht="29.1">
      <c r="A78" s="108" t="s">
        <v>5439</v>
      </c>
      <c r="B78" s="108" t="s">
        <v>5397</v>
      </c>
      <c r="C78" s="108" t="s">
        <v>5440</v>
      </c>
      <c r="D78" s="114" t="s">
        <v>5262</v>
      </c>
      <c r="E78" s="108" t="s">
        <v>5441</v>
      </c>
      <c r="F78" s="108" t="s">
        <v>5442</v>
      </c>
    </row>
    <row r="79" spans="1:6" ht="29.1">
      <c r="A79" s="107" t="s">
        <v>5443</v>
      </c>
      <c r="B79" s="107" t="s">
        <v>5397</v>
      </c>
      <c r="C79" s="107" t="s">
        <v>5444</v>
      </c>
      <c r="D79" s="114" t="s">
        <v>5262</v>
      </c>
      <c r="E79" s="107" t="s">
        <v>5445</v>
      </c>
      <c r="F79" s="107" t="s">
        <v>5446</v>
      </c>
    </row>
    <row r="80" spans="1:6" ht="29.1">
      <c r="A80" s="108" t="s">
        <v>5447</v>
      </c>
      <c r="B80" s="108" t="s">
        <v>5397</v>
      </c>
      <c r="C80" s="108" t="s">
        <v>5448</v>
      </c>
      <c r="D80" s="114" t="s">
        <v>5262</v>
      </c>
      <c r="E80" s="108" t="s">
        <v>5449</v>
      </c>
      <c r="F80" s="108" t="s">
        <v>5381</v>
      </c>
    </row>
    <row r="81" spans="1:6">
      <c r="A81" s="57"/>
    </row>
    <row r="82" spans="1:6" ht="24" customHeight="1">
      <c r="A82" s="339" t="s">
        <v>5450</v>
      </c>
      <c r="B82" s="339"/>
      <c r="C82" s="339"/>
      <c r="D82" s="339"/>
      <c r="E82" s="339"/>
      <c r="F82" s="339"/>
    </row>
    <row r="83" spans="1:6" ht="29.1">
      <c r="A83" s="106" t="s">
        <v>990</v>
      </c>
      <c r="B83" s="106" t="s">
        <v>5451</v>
      </c>
      <c r="C83" s="106" t="s">
        <v>5452</v>
      </c>
      <c r="D83" s="106" t="s">
        <v>5453</v>
      </c>
      <c r="E83" s="106" t="s">
        <v>5454</v>
      </c>
      <c r="F83" s="106" t="s">
        <v>5455</v>
      </c>
    </row>
    <row r="84" spans="1:6" ht="43.5">
      <c r="A84" s="107">
        <v>1</v>
      </c>
      <c r="B84" s="107" t="s">
        <v>5456</v>
      </c>
      <c r="C84" s="107" t="s">
        <v>5457</v>
      </c>
      <c r="D84" s="107" t="s">
        <v>5458</v>
      </c>
      <c r="E84" s="107" t="s">
        <v>5459</v>
      </c>
      <c r="F84" s="107" t="s">
        <v>5360</v>
      </c>
    </row>
    <row r="85" spans="1:6" ht="29.1">
      <c r="A85" s="108">
        <v>2</v>
      </c>
      <c r="B85" s="108" t="s">
        <v>5460</v>
      </c>
      <c r="C85" s="108" t="s">
        <v>5461</v>
      </c>
      <c r="D85" s="108" t="s">
        <v>5462</v>
      </c>
      <c r="E85" s="108" t="s">
        <v>5463</v>
      </c>
      <c r="F85" s="108" t="s">
        <v>5377</v>
      </c>
    </row>
    <row r="86" spans="1:6" ht="29.1">
      <c r="A86" s="107">
        <v>3</v>
      </c>
      <c r="B86" s="107" t="s">
        <v>5464</v>
      </c>
      <c r="C86" s="107" t="s">
        <v>5465</v>
      </c>
      <c r="D86" s="107" t="s">
        <v>5466</v>
      </c>
      <c r="E86" s="107" t="s">
        <v>5467</v>
      </c>
      <c r="F86" s="107" t="s">
        <v>5377</v>
      </c>
    </row>
    <row r="87" spans="1:6" ht="43.5">
      <c r="A87" s="108">
        <v>4</v>
      </c>
      <c r="B87" s="108" t="s">
        <v>5468</v>
      </c>
      <c r="C87" s="108" t="s">
        <v>5469</v>
      </c>
      <c r="D87" s="108" t="s">
        <v>5470</v>
      </c>
      <c r="E87" s="108" t="s">
        <v>5471</v>
      </c>
      <c r="F87" s="108" t="s">
        <v>5372</v>
      </c>
    </row>
    <row r="88" spans="1:6" ht="43.5">
      <c r="A88" s="107">
        <v>5</v>
      </c>
      <c r="B88" s="107" t="s">
        <v>5472</v>
      </c>
      <c r="C88" s="107" t="s">
        <v>5473</v>
      </c>
      <c r="D88" s="107" t="s">
        <v>5474</v>
      </c>
      <c r="E88" s="107" t="s">
        <v>5475</v>
      </c>
      <c r="F88" s="107" t="s">
        <v>5368</v>
      </c>
    </row>
    <row r="89" spans="1:6" ht="57.95">
      <c r="A89" s="108">
        <v>6</v>
      </c>
      <c r="B89" s="108" t="s">
        <v>5476</v>
      </c>
      <c r="C89" s="108" t="s">
        <v>5477</v>
      </c>
      <c r="D89" s="108" t="s">
        <v>5478</v>
      </c>
      <c r="E89" s="108" t="s">
        <v>5479</v>
      </c>
      <c r="F89" s="108" t="s">
        <v>5381</v>
      </c>
    </row>
    <row r="90" spans="1:6" ht="57.95">
      <c r="A90" s="107">
        <v>7</v>
      </c>
      <c r="B90" s="107" t="s">
        <v>5480</v>
      </c>
      <c r="C90" s="107" t="s">
        <v>5481</v>
      </c>
      <c r="D90" s="107" t="s">
        <v>5482</v>
      </c>
      <c r="E90" s="107" t="s">
        <v>3112</v>
      </c>
      <c r="F90" s="107" t="s">
        <v>5435</v>
      </c>
    </row>
    <row r="91" spans="1:6" customFormat="1">
      <c r="A91" s="57"/>
      <c r="B91" s="57"/>
      <c r="C91" s="57"/>
      <c r="D91" s="57"/>
      <c r="E91" s="57"/>
      <c r="F91" s="57"/>
    </row>
    <row r="92" spans="1:6" ht="45" customHeight="1">
      <c r="A92" s="301" t="s">
        <v>5483</v>
      </c>
      <c r="B92" s="301"/>
      <c r="C92" s="301"/>
      <c r="D92" s="301"/>
      <c r="E92" s="301"/>
      <c r="F92" s="301"/>
    </row>
    <row r="93" spans="1:6">
      <c r="A93"/>
      <c r="B93"/>
      <c r="C93"/>
    </row>
    <row r="94" spans="1:6">
      <c r="A94"/>
      <c r="B94"/>
      <c r="C94"/>
    </row>
    <row r="95" spans="1:6">
      <c r="A95"/>
      <c r="B95"/>
      <c r="C95"/>
    </row>
    <row r="96" spans="1:6">
      <c r="A96"/>
      <c r="B96"/>
      <c r="C96"/>
    </row>
    <row r="97" spans="1:3">
      <c r="A97"/>
      <c r="B97"/>
      <c r="C97"/>
    </row>
    <row r="98" spans="1:3">
      <c r="A98"/>
      <c r="B98"/>
      <c r="C98"/>
    </row>
    <row r="99" spans="1:3">
      <c r="A99"/>
      <c r="B99"/>
      <c r="C99"/>
    </row>
    <row r="100" spans="1:3">
      <c r="A100"/>
      <c r="B100"/>
      <c r="C100"/>
    </row>
    <row r="101" spans="1:3">
      <c r="A101"/>
      <c r="B101"/>
      <c r="C101"/>
    </row>
    <row r="102" spans="1:3">
      <c r="A102"/>
      <c r="B102"/>
      <c r="C102"/>
    </row>
    <row r="103" spans="1:3">
      <c r="A103"/>
      <c r="B103"/>
      <c r="C103"/>
    </row>
    <row r="104" spans="1:3">
      <c r="A104"/>
      <c r="B104"/>
      <c r="C104"/>
    </row>
    <row r="105" spans="1:3">
      <c r="A105"/>
      <c r="B105"/>
      <c r="C105"/>
    </row>
    <row r="106" spans="1:3">
      <c r="A106"/>
      <c r="B106"/>
      <c r="C106"/>
    </row>
    <row r="107" spans="1:3">
      <c r="A107"/>
      <c r="B107"/>
      <c r="C107"/>
    </row>
    <row r="108" spans="1:3" ht="60" customHeight="1">
      <c r="A108"/>
      <c r="B108"/>
      <c r="C108"/>
    </row>
    <row r="109" spans="1:3">
      <c r="A109"/>
      <c r="B109"/>
      <c r="C109"/>
    </row>
    <row r="110" spans="1:3">
      <c r="A110"/>
      <c r="B110"/>
      <c r="C110"/>
    </row>
    <row r="111" spans="1:3">
      <c r="A111"/>
      <c r="B111"/>
      <c r="C111"/>
    </row>
    <row r="112" spans="1:3" customFormat="1"/>
    <row r="113" customFormat="1"/>
    <row r="114" customFormat="1"/>
    <row r="115" customFormat="1"/>
    <row r="116" customFormat="1"/>
    <row r="117" customFormat="1"/>
    <row r="118" customFormat="1"/>
    <row r="119" customFormat="1"/>
  </sheetData>
  <mergeCells count="11">
    <mergeCell ref="A20:F20"/>
    <mergeCell ref="A53:F53"/>
    <mergeCell ref="A63:F63"/>
    <mergeCell ref="A82:F82"/>
    <mergeCell ref="A92:F92"/>
    <mergeCell ref="A18:F18"/>
    <mergeCell ref="A1:F1"/>
    <mergeCell ref="A2:F2"/>
    <mergeCell ref="A4:F4"/>
    <mergeCell ref="A7:F7"/>
    <mergeCell ref="A17:F17"/>
  </mergeCells>
  <pageMargins left="0.7" right="0.7" top="0.75" bottom="0.75" header="0.3" footer="0.3"/>
  <headerFooter>
    <oddFooter>&amp;L_x000D_&amp;1#&amp;"Aptos"&amp;10&amp;K000000 Confidential-Internal</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82D5C-02F3-436E-9C07-17D6E7363661}">
  <dimension ref="A1:C66"/>
  <sheetViews>
    <sheetView workbookViewId="0">
      <selection activeCell="I11" sqref="I11:J11"/>
    </sheetView>
  </sheetViews>
  <sheetFormatPr defaultRowHeight="14.45"/>
  <cols>
    <col min="1" max="1" width="36.140625" customWidth="1"/>
    <col min="2" max="2" width="31.42578125" customWidth="1"/>
    <col min="3" max="3" width="40.85546875" customWidth="1"/>
  </cols>
  <sheetData>
    <row r="1" spans="1:3">
      <c r="A1" s="117" t="s">
        <v>5484</v>
      </c>
    </row>
    <row r="2" spans="1:3" ht="15" thickBot="1">
      <c r="A2" s="118"/>
    </row>
    <row r="3" spans="1:3" ht="17.100000000000001" thickBot="1">
      <c r="A3" s="119" t="s">
        <v>3</v>
      </c>
      <c r="B3" s="119" t="s">
        <v>5485</v>
      </c>
      <c r="C3" s="119" t="s">
        <v>6</v>
      </c>
    </row>
    <row r="4" spans="1:3" ht="17.100000000000001" thickBot="1">
      <c r="A4" s="120">
        <v>1</v>
      </c>
      <c r="B4" s="120" t="s">
        <v>5486</v>
      </c>
      <c r="C4" s="121" t="s">
        <v>5487</v>
      </c>
    </row>
    <row r="5" spans="1:3" ht="17.100000000000001" thickBot="1">
      <c r="A5" s="120">
        <v>2</v>
      </c>
      <c r="B5" s="120" t="s">
        <v>5488</v>
      </c>
      <c r="C5" s="121" t="s">
        <v>5489</v>
      </c>
    </row>
    <row r="6" spans="1:3" ht="17.100000000000001" thickBot="1">
      <c r="A6" s="120">
        <v>3</v>
      </c>
      <c r="B6" s="120" t="s">
        <v>5490</v>
      </c>
      <c r="C6" s="121" t="s">
        <v>5491</v>
      </c>
    </row>
    <row r="7" spans="1:3" ht="17.100000000000001" thickBot="1">
      <c r="A7" s="120">
        <v>4</v>
      </c>
      <c r="B7" s="120" t="s">
        <v>5492</v>
      </c>
      <c r="C7" s="121" t="s">
        <v>5493</v>
      </c>
    </row>
    <row r="8" spans="1:3" ht="17.100000000000001" thickBot="1">
      <c r="A8" s="120">
        <v>5</v>
      </c>
      <c r="B8" s="120" t="s">
        <v>5494</v>
      </c>
      <c r="C8" s="121" t="s">
        <v>5495</v>
      </c>
    </row>
    <row r="9" spans="1:3" ht="17.100000000000001" thickBot="1">
      <c r="A9" s="120">
        <v>6</v>
      </c>
      <c r="B9" s="120" t="s">
        <v>5496</v>
      </c>
      <c r="C9" s="121" t="s">
        <v>5497</v>
      </c>
    </row>
    <row r="10" spans="1:3" ht="17.100000000000001" thickBot="1">
      <c r="A10" s="120">
        <v>7</v>
      </c>
      <c r="B10" s="120" t="s">
        <v>5498</v>
      </c>
      <c r="C10" s="122" t="s">
        <v>5499</v>
      </c>
    </row>
    <row r="11" spans="1:3">
      <c r="A11" s="118"/>
    </row>
    <row r="12" spans="1:3" ht="20.45">
      <c r="A12" s="123" t="s">
        <v>5500</v>
      </c>
    </row>
    <row r="13" spans="1:3">
      <c r="A13" s="118"/>
    </row>
    <row r="14" spans="1:3">
      <c r="A14" s="124" t="s">
        <v>5501</v>
      </c>
    </row>
    <row r="15" spans="1:3">
      <c r="A15" s="125"/>
    </row>
    <row r="16" spans="1:3">
      <c r="A16" s="124" t="s">
        <v>5502</v>
      </c>
    </row>
    <row r="17" spans="1:1">
      <c r="A17" s="125"/>
    </row>
    <row r="18" spans="1:1">
      <c r="A18" s="124" t="s">
        <v>5503</v>
      </c>
    </row>
    <row r="19" spans="1:1">
      <c r="A19" s="125"/>
    </row>
    <row r="20" spans="1:1">
      <c r="A20" s="124" t="s">
        <v>5504</v>
      </c>
    </row>
    <row r="21" spans="1:1">
      <c r="A21" s="125"/>
    </row>
    <row r="22" spans="1:1">
      <c r="A22" s="124" t="s">
        <v>5503</v>
      </c>
    </row>
    <row r="23" spans="1:1">
      <c r="A23" s="125"/>
    </row>
    <row r="24" spans="1:1">
      <c r="A24" s="124" t="s">
        <v>5505</v>
      </c>
    </row>
    <row r="25" spans="1:1">
      <c r="A25" s="125"/>
    </row>
    <row r="26" spans="1:1">
      <c r="A26" s="124" t="s">
        <v>5503</v>
      </c>
    </row>
    <row r="27" spans="1:1">
      <c r="A27" s="125"/>
    </row>
    <row r="28" spans="1:1">
      <c r="A28" s="124" t="s">
        <v>5506</v>
      </c>
    </row>
    <row r="29" spans="1:1">
      <c r="A29" s="125"/>
    </row>
    <row r="30" spans="1:1">
      <c r="A30" s="124" t="s">
        <v>5503</v>
      </c>
    </row>
    <row r="31" spans="1:1">
      <c r="A31" s="125"/>
    </row>
    <row r="32" spans="1:1">
      <c r="A32" s="124" t="s">
        <v>5507</v>
      </c>
    </row>
    <row r="33" spans="1:2">
      <c r="A33" s="125"/>
    </row>
    <row r="34" spans="1:2">
      <c r="A34" s="124" t="s">
        <v>5503</v>
      </c>
    </row>
    <row r="35" spans="1:2">
      <c r="A35" s="125"/>
    </row>
    <row r="36" spans="1:2">
      <c r="A36" s="124" t="s">
        <v>5508</v>
      </c>
    </row>
    <row r="37" spans="1:2">
      <c r="A37" s="125"/>
    </row>
    <row r="38" spans="1:2">
      <c r="A38" s="124" t="s">
        <v>5503</v>
      </c>
    </row>
    <row r="39" spans="1:2">
      <c r="A39" s="125"/>
    </row>
    <row r="40" spans="1:2">
      <c r="A40" s="124" t="s">
        <v>5509</v>
      </c>
    </row>
    <row r="41" spans="1:2">
      <c r="A41" s="125"/>
    </row>
    <row r="42" spans="1:2">
      <c r="A42" s="124" t="s">
        <v>5510</v>
      </c>
    </row>
    <row r="43" spans="1:2">
      <c r="A43" s="118"/>
    </row>
    <row r="44" spans="1:2">
      <c r="A44" s="126" t="s">
        <v>5511</v>
      </c>
    </row>
    <row r="45" spans="1:2">
      <c r="A45" s="118"/>
    </row>
    <row r="46" spans="1:2" ht="20.45">
      <c r="A46" s="123" t="s">
        <v>5512</v>
      </c>
    </row>
    <row r="47" spans="1:2" ht="15" thickBot="1">
      <c r="A47" s="118"/>
    </row>
    <row r="48" spans="1:2" ht="17.100000000000001" thickBot="1">
      <c r="A48" s="119" t="s">
        <v>5513</v>
      </c>
      <c r="B48" s="119" t="s">
        <v>5514</v>
      </c>
    </row>
    <row r="49" spans="1:3" ht="17.100000000000001" thickBot="1">
      <c r="A49" s="122" t="s">
        <v>5515</v>
      </c>
      <c r="B49" s="122" t="s">
        <v>5516</v>
      </c>
      <c r="C49" t="s">
        <v>5517</v>
      </c>
    </row>
    <row r="50" spans="1:3" ht="17.100000000000001" thickBot="1">
      <c r="A50" s="122" t="s">
        <v>5518</v>
      </c>
      <c r="B50" s="122" t="s">
        <v>5519</v>
      </c>
      <c r="C50" t="s">
        <v>5520</v>
      </c>
    </row>
    <row r="51" spans="1:3" ht="17.100000000000001" thickBot="1">
      <c r="A51" s="122" t="s">
        <v>5521</v>
      </c>
      <c r="B51" s="122" t="s">
        <v>5522</v>
      </c>
      <c r="C51" t="s">
        <v>5523</v>
      </c>
    </row>
    <row r="52" spans="1:3" ht="17.100000000000001" thickBot="1">
      <c r="A52" s="122" t="s">
        <v>5524</v>
      </c>
      <c r="B52" s="122" t="s">
        <v>5525</v>
      </c>
      <c r="C52" t="s">
        <v>5526</v>
      </c>
    </row>
    <row r="53" spans="1:3" ht="17.100000000000001" thickBot="1">
      <c r="A53" s="122" t="s">
        <v>5527</v>
      </c>
      <c r="B53" s="122" t="s">
        <v>5528</v>
      </c>
      <c r="C53" t="s">
        <v>5529</v>
      </c>
    </row>
    <row r="54" spans="1:3" ht="17.100000000000001" thickBot="1">
      <c r="A54" s="122" t="s">
        <v>5530</v>
      </c>
      <c r="B54" s="122" t="s">
        <v>5531</v>
      </c>
      <c r="C54" t="s">
        <v>5532</v>
      </c>
    </row>
    <row r="55" spans="1:3" ht="17.100000000000001" thickBot="1">
      <c r="A55" s="122" t="s">
        <v>5533</v>
      </c>
      <c r="B55" s="122" t="s">
        <v>5534</v>
      </c>
      <c r="C55" t="s">
        <v>5535</v>
      </c>
    </row>
    <row r="56" spans="1:3">
      <c r="A56" s="118"/>
    </row>
    <row r="57" spans="1:3">
      <c r="A57" s="126" t="s">
        <v>5536</v>
      </c>
    </row>
    <row r="58" spans="1:3" ht="15" thickBot="1"/>
    <row r="59" spans="1:3" ht="17.100000000000001" thickBot="1">
      <c r="A59" s="91"/>
      <c r="B59" s="91"/>
    </row>
    <row r="60" spans="1:3" ht="17.100000000000001" thickBot="1">
      <c r="A60" s="91"/>
      <c r="B60" s="92"/>
    </row>
    <row r="61" spans="1:3" ht="17.100000000000001" thickBot="1">
      <c r="A61" s="91"/>
      <c r="B61" s="92"/>
    </row>
    <row r="62" spans="1:3" ht="17.100000000000001" thickBot="1">
      <c r="A62" s="91"/>
      <c r="B62" s="92"/>
    </row>
    <row r="63" spans="1:3" ht="17.100000000000001" thickBot="1">
      <c r="A63" s="91"/>
      <c r="B63" s="92"/>
    </row>
    <row r="64" spans="1:3" ht="17.100000000000001" thickBot="1">
      <c r="A64" s="91"/>
      <c r="B64" s="92"/>
    </row>
    <row r="65" spans="1:2" ht="17.100000000000001" thickBot="1">
      <c r="A65" s="91"/>
      <c r="B65" s="92"/>
    </row>
    <row r="66" spans="1:2" ht="17.100000000000001" thickBot="1">
      <c r="A66" s="91"/>
      <c r="B66" s="92"/>
    </row>
  </sheetData>
  <hyperlinks>
    <hyperlink ref="A1" r:id="rId1" display="https://wipro365-my.sharepoint.com/personal/su20278582_wipro_com/_layouts/15/Doc.aspx?sourcedoc=%7B9569910D-036C-4928-8E5D-08EF1643B517%7D&amp;file=Overall%20Architecture%20-%20Copy.docx&amp;action=default&amp;mobileredirect=true" xr:uid="{29EB4B08-C2FC-4EBC-954F-DD0CC436E45E}"/>
    <hyperlink ref="C4" r:id="rId2" display="https://wipro365-my.sharepoint.com/personal/su20278582_wipro_com/_layouts/15/Doc.aspx?sourcedoc=%7B9569910D-036C-4928-8E5D-08EF1643B517%7D&amp;file=Overall%20Architecture%20-%20Copy.docx&amp;action=default&amp;mobileredirect=true" xr:uid="{2D7E3F6B-CAEC-42E4-862F-16B105D12D0B}"/>
    <hyperlink ref="C5" r:id="rId3" display="https://wipro365-my.sharepoint.com/personal/su20278582_wipro_com/_layouts/15/Doc.aspx?sourcedoc=%7B9569910D-036C-4928-8E5D-08EF1643B517%7D&amp;file=Overall%20Architecture%20-%20Copy.docx&amp;action=default&amp;mobileredirect=true" xr:uid="{013948BA-2B0E-4CC4-96E9-68A4BE0BC53C}"/>
    <hyperlink ref="C6" r:id="rId4" display="https://wipro365-my.sharepoint.com/personal/su20278582_wipro_com/_layouts/15/Doc.aspx?sourcedoc=%7B9569910D-036C-4928-8E5D-08EF1643B517%7D&amp;file=Overall%20Architecture%20-%20Copy.docx&amp;action=default&amp;mobileredirect=true" xr:uid="{BC5E3C86-1556-4DAA-AEDF-7BDEDA0C0956}"/>
    <hyperlink ref="C7" r:id="rId5" display="https://wipro365-my.sharepoint.com/personal/su20278582_wipro_com/_layouts/15/Doc.aspx?sourcedoc=%7B9569910D-036C-4928-8E5D-08EF1643B517%7D&amp;file=Overall%20Architecture%20-%20Copy.docx&amp;action=default&amp;mobileredirect=true" xr:uid="{A02D1550-3F7F-44AD-AD6E-A319ABE81EC9}"/>
    <hyperlink ref="C8" r:id="rId6" display="https://wipro365-my.sharepoint.com/personal/su20278582_wipro_com/_layouts/15/Doc.aspx?sourcedoc=%7B9569910D-036C-4928-8E5D-08EF1643B517%7D&amp;file=Overall%20Architecture%20-%20Copy.docx&amp;action=default&amp;mobileredirect=true" xr:uid="{A0FF7213-B9B3-4F07-A801-5382409E5267}"/>
    <hyperlink ref="C9" r:id="rId7" display="https://wipro365-my.sharepoint.com/personal/su20278582_wipro_com/_layouts/15/Doc.aspx?sourcedoc=%7B9569910D-036C-4928-8E5D-08EF1643B517%7D&amp;file=Overall%20Architecture%20-%20Copy.docx&amp;action=default&amp;mobileredirect=true" xr:uid="{6C522811-E11E-4C25-B36F-44BC8E23C317}"/>
  </hyperlinks>
  <pageMargins left="0.7" right="0.7" top="0.75" bottom="0.75" header="0.3" footer="0.3"/>
  <headerFooter>
    <oddFooter>&amp;L_x000D_&amp;1#&amp;"Aptos"&amp;10&amp;K000000 Confidential-Internal</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1B68A-8BAF-456A-8355-2EF23D2F2960}">
  <dimension ref="A1:C187"/>
  <sheetViews>
    <sheetView topLeftCell="A167" workbookViewId="0">
      <selection activeCell="I11" sqref="I11:J11"/>
    </sheetView>
  </sheetViews>
  <sheetFormatPr defaultColWidth="8.7109375" defaultRowHeight="12.95"/>
  <cols>
    <col min="1" max="3" width="36.42578125" style="129" customWidth="1"/>
    <col min="4" max="16384" width="8.7109375" style="129"/>
  </cols>
  <sheetData>
    <row r="1" spans="1:3">
      <c r="A1" s="127" t="s">
        <v>5537</v>
      </c>
      <c r="B1" s="128"/>
      <c r="C1" s="128"/>
    </row>
    <row r="2" spans="1:3">
      <c r="A2" s="130"/>
      <c r="B2" s="130"/>
      <c r="C2" s="130"/>
    </row>
    <row r="3" spans="1:3">
      <c r="A3" s="131" t="s">
        <v>5538</v>
      </c>
      <c r="B3" s="131"/>
      <c r="C3" s="131"/>
    </row>
    <row r="4" spans="1:3">
      <c r="A4" s="130"/>
      <c r="B4" s="130"/>
      <c r="C4" s="130"/>
    </row>
    <row r="5" spans="1:3">
      <c r="A5" s="132" t="s">
        <v>5539</v>
      </c>
      <c r="B5" s="133"/>
      <c r="C5" s="133"/>
    </row>
    <row r="6" spans="1:3" ht="13.5" thickBot="1">
      <c r="A6" s="130"/>
      <c r="B6" s="130"/>
      <c r="C6" s="130"/>
    </row>
    <row r="7" spans="1:3" ht="13.5" thickBot="1">
      <c r="A7" s="134" t="s">
        <v>5540</v>
      </c>
      <c r="B7" s="134" t="s">
        <v>5541</v>
      </c>
      <c r="C7" s="134" t="s">
        <v>5542</v>
      </c>
    </row>
    <row r="8" spans="1:3" ht="91.5" thickBot="1">
      <c r="A8" s="135" t="s">
        <v>5543</v>
      </c>
      <c r="B8" s="136" t="s">
        <v>5544</v>
      </c>
      <c r="C8" s="137" t="s">
        <v>5545</v>
      </c>
    </row>
    <row r="9" spans="1:3" ht="65.45" thickBot="1">
      <c r="A9" s="138" t="s">
        <v>5546</v>
      </c>
      <c r="B9" s="139" t="s">
        <v>5547</v>
      </c>
      <c r="C9" s="140" t="s">
        <v>5548</v>
      </c>
    </row>
    <row r="10" spans="1:3" ht="65.45" thickBot="1">
      <c r="A10" s="141" t="s">
        <v>5549</v>
      </c>
      <c r="B10" s="142" t="s">
        <v>5550</v>
      </c>
      <c r="C10" s="143" t="s">
        <v>5551</v>
      </c>
    </row>
    <row r="11" spans="1:3" ht="52.5" thickBot="1">
      <c r="A11" s="138" t="s">
        <v>5552</v>
      </c>
      <c r="B11" s="139" t="s">
        <v>5553</v>
      </c>
      <c r="C11" s="140" t="s">
        <v>5554</v>
      </c>
    </row>
    <row r="12" spans="1:3" ht="65.45" thickBot="1">
      <c r="A12" s="141" t="s">
        <v>5555</v>
      </c>
      <c r="B12" s="142" t="s">
        <v>5556</v>
      </c>
      <c r="C12" s="143" t="s">
        <v>5557</v>
      </c>
    </row>
    <row r="13" spans="1:3" ht="78.599999999999994" thickBot="1">
      <c r="A13" s="138" t="s">
        <v>5558</v>
      </c>
      <c r="B13" s="139" t="s">
        <v>5559</v>
      </c>
      <c r="C13" s="140" t="s">
        <v>5560</v>
      </c>
    </row>
    <row r="14" spans="1:3" ht="78.599999999999994" thickBot="1">
      <c r="A14" s="141" t="s">
        <v>5561</v>
      </c>
      <c r="B14" s="142" t="s">
        <v>5562</v>
      </c>
      <c r="C14" s="143" t="s">
        <v>5563</v>
      </c>
    </row>
    <row r="15" spans="1:3" ht="78.599999999999994" thickBot="1">
      <c r="A15" s="138" t="s">
        <v>5564</v>
      </c>
      <c r="B15" s="139" t="s">
        <v>5565</v>
      </c>
      <c r="C15" s="140" t="s">
        <v>5566</v>
      </c>
    </row>
    <row r="16" spans="1:3" ht="78.599999999999994" thickBot="1">
      <c r="A16" s="141" t="s">
        <v>5567</v>
      </c>
      <c r="B16" s="142" t="s">
        <v>5568</v>
      </c>
      <c r="C16" s="143" t="s">
        <v>5569</v>
      </c>
    </row>
    <row r="17" spans="1:3" ht="91.5" thickBot="1">
      <c r="A17" s="138" t="s">
        <v>5570</v>
      </c>
      <c r="B17" s="139" t="s">
        <v>5571</v>
      </c>
      <c r="C17" s="140" t="s">
        <v>5572</v>
      </c>
    </row>
    <row r="18" spans="1:3">
      <c r="A18" s="130"/>
      <c r="B18" s="130"/>
      <c r="C18" s="130"/>
    </row>
    <row r="19" spans="1:3">
      <c r="A19" s="130"/>
      <c r="B19" s="130"/>
      <c r="C19" s="130"/>
    </row>
    <row r="20" spans="1:3">
      <c r="A20" s="144" t="s">
        <v>5573</v>
      </c>
      <c r="B20" s="144"/>
      <c r="C20" s="144"/>
    </row>
    <row r="21" spans="1:3">
      <c r="A21" s="130"/>
      <c r="B21" s="130"/>
      <c r="C21" s="130"/>
    </row>
    <row r="22" spans="1:3">
      <c r="A22" s="145" t="s">
        <v>5574</v>
      </c>
      <c r="B22" s="130"/>
      <c r="C22" s="130"/>
    </row>
    <row r="23" spans="1:3">
      <c r="A23" s="145"/>
      <c r="B23" s="130"/>
      <c r="C23" s="130"/>
    </row>
    <row r="24" spans="1:3">
      <c r="A24" s="145" t="s">
        <v>5575</v>
      </c>
      <c r="B24" s="130"/>
      <c r="C24" s="130"/>
    </row>
    <row r="25" spans="1:3">
      <c r="A25" s="145"/>
      <c r="B25" s="130"/>
      <c r="C25" s="130"/>
    </row>
    <row r="26" spans="1:3">
      <c r="A26" s="145" t="s">
        <v>5576</v>
      </c>
      <c r="B26" s="130"/>
      <c r="C26" s="130"/>
    </row>
    <row r="27" spans="1:3">
      <c r="A27" s="145"/>
      <c r="B27" s="130"/>
      <c r="C27" s="130"/>
    </row>
    <row r="28" spans="1:3">
      <c r="A28" s="145" t="s">
        <v>5577</v>
      </c>
      <c r="B28" s="130"/>
      <c r="C28" s="130"/>
    </row>
    <row r="29" spans="1:3">
      <c r="A29" s="145"/>
      <c r="B29" s="130"/>
      <c r="C29" s="130"/>
    </row>
    <row r="30" spans="1:3">
      <c r="A30" s="145" t="s">
        <v>5575</v>
      </c>
      <c r="B30" s="130"/>
      <c r="C30" s="130"/>
    </row>
    <row r="31" spans="1:3">
      <c r="A31" s="145"/>
      <c r="B31" s="130"/>
      <c r="C31" s="130"/>
    </row>
    <row r="32" spans="1:3">
      <c r="A32" s="145" t="s">
        <v>5576</v>
      </c>
      <c r="B32" s="130"/>
      <c r="C32" s="130"/>
    </row>
    <row r="33" spans="1:3">
      <c r="A33" s="145"/>
      <c r="B33" s="130"/>
      <c r="C33" s="130"/>
    </row>
    <row r="34" spans="1:3">
      <c r="A34" s="145" t="s">
        <v>5578</v>
      </c>
      <c r="B34" s="130"/>
      <c r="C34" s="130"/>
    </row>
    <row r="35" spans="1:3">
      <c r="A35" s="145"/>
      <c r="B35" s="130"/>
      <c r="C35" s="130"/>
    </row>
    <row r="36" spans="1:3">
      <c r="A36" s="145" t="s">
        <v>5575</v>
      </c>
      <c r="B36" s="130"/>
      <c r="C36" s="130"/>
    </row>
    <row r="37" spans="1:3">
      <c r="A37" s="145"/>
      <c r="B37" s="130"/>
      <c r="C37" s="130"/>
    </row>
    <row r="38" spans="1:3">
      <c r="A38" s="145" t="s">
        <v>5576</v>
      </c>
      <c r="B38" s="130"/>
      <c r="C38" s="130"/>
    </row>
    <row r="39" spans="1:3">
      <c r="A39" s="145"/>
      <c r="B39" s="130"/>
      <c r="C39" s="130"/>
    </row>
    <row r="40" spans="1:3">
      <c r="A40" s="145" t="s">
        <v>4555</v>
      </c>
      <c r="B40" s="130"/>
      <c r="C40" s="130"/>
    </row>
    <row r="41" spans="1:3">
      <c r="A41" s="145"/>
      <c r="B41" s="130"/>
      <c r="C41" s="130"/>
    </row>
    <row r="42" spans="1:3">
      <c r="A42" s="145" t="s">
        <v>5575</v>
      </c>
      <c r="B42" s="130"/>
      <c r="C42" s="130"/>
    </row>
    <row r="43" spans="1:3">
      <c r="A43" s="145"/>
      <c r="B43" s="130"/>
      <c r="C43" s="130"/>
    </row>
    <row r="44" spans="1:3">
      <c r="A44" s="145" t="s">
        <v>5576</v>
      </c>
      <c r="B44" s="130"/>
      <c r="C44" s="130"/>
    </row>
    <row r="45" spans="1:3">
      <c r="A45" s="145"/>
      <c r="B45" s="130"/>
      <c r="C45" s="130"/>
    </row>
    <row r="46" spans="1:3">
      <c r="A46" s="145" t="s">
        <v>5579</v>
      </c>
      <c r="B46" s="130"/>
      <c r="C46" s="130"/>
    </row>
    <row r="47" spans="1:3">
      <c r="A47" s="145"/>
      <c r="B47" s="130"/>
      <c r="C47" s="130"/>
    </row>
    <row r="48" spans="1:3">
      <c r="A48" s="145" t="s">
        <v>5575</v>
      </c>
      <c r="B48" s="130"/>
      <c r="C48" s="130"/>
    </row>
    <row r="49" spans="1:3">
      <c r="A49" s="145"/>
      <c r="B49" s="130"/>
      <c r="C49" s="130"/>
    </row>
    <row r="50" spans="1:3">
      <c r="A50" s="145" t="s">
        <v>5576</v>
      </c>
      <c r="B50" s="130"/>
      <c r="C50" s="130"/>
    </row>
    <row r="51" spans="1:3">
      <c r="A51" s="145"/>
      <c r="B51" s="130"/>
      <c r="C51" s="130"/>
    </row>
    <row r="52" spans="1:3">
      <c r="A52" s="145" t="s">
        <v>5580</v>
      </c>
      <c r="B52" s="130"/>
      <c r="C52" s="130"/>
    </row>
    <row r="53" spans="1:3">
      <c r="A53" s="145"/>
      <c r="B53" s="130"/>
      <c r="C53" s="130"/>
    </row>
    <row r="54" spans="1:3">
      <c r="A54" s="145" t="s">
        <v>5575</v>
      </c>
      <c r="B54" s="130"/>
      <c r="C54" s="130"/>
    </row>
    <row r="55" spans="1:3">
      <c r="A55" s="145"/>
      <c r="B55" s="130"/>
      <c r="C55" s="130"/>
    </row>
    <row r="56" spans="1:3">
      <c r="A56" s="145" t="s">
        <v>5576</v>
      </c>
      <c r="B56" s="130"/>
      <c r="C56" s="130"/>
    </row>
    <row r="57" spans="1:3">
      <c r="A57" s="145"/>
      <c r="B57" s="130"/>
      <c r="C57" s="130"/>
    </row>
    <row r="58" spans="1:3">
      <c r="A58" s="145" t="s">
        <v>5581</v>
      </c>
      <c r="B58" s="130"/>
      <c r="C58" s="130"/>
    </row>
    <row r="59" spans="1:3">
      <c r="A59" s="145"/>
      <c r="B59" s="130"/>
      <c r="C59" s="130"/>
    </row>
    <row r="60" spans="1:3">
      <c r="A60" s="145" t="s">
        <v>5575</v>
      </c>
      <c r="B60" s="130"/>
      <c r="C60" s="130"/>
    </row>
    <row r="61" spans="1:3">
      <c r="A61" s="145"/>
      <c r="B61" s="130"/>
      <c r="C61" s="130"/>
    </row>
    <row r="62" spans="1:3">
      <c r="A62" s="145" t="s">
        <v>5576</v>
      </c>
      <c r="B62" s="130"/>
      <c r="C62" s="130"/>
    </row>
    <row r="63" spans="1:3">
      <c r="A63" s="145"/>
      <c r="B63" s="130"/>
      <c r="C63" s="130"/>
    </row>
    <row r="64" spans="1:3">
      <c r="A64" s="145" t="s">
        <v>5582</v>
      </c>
      <c r="B64" s="130"/>
      <c r="C64" s="130"/>
    </row>
    <row r="65" spans="1:3">
      <c r="A65" s="145"/>
      <c r="B65" s="130"/>
      <c r="C65" s="130"/>
    </row>
    <row r="66" spans="1:3">
      <c r="A66" s="145" t="s">
        <v>5575</v>
      </c>
      <c r="B66" s="130"/>
      <c r="C66" s="130"/>
    </row>
    <row r="67" spans="1:3">
      <c r="A67" s="145"/>
      <c r="B67" s="130"/>
      <c r="C67" s="130"/>
    </row>
    <row r="68" spans="1:3">
      <c r="A68" s="145" t="s">
        <v>5576</v>
      </c>
      <c r="B68" s="130"/>
      <c r="C68" s="130"/>
    </row>
    <row r="69" spans="1:3">
      <c r="A69" s="145"/>
      <c r="B69" s="130"/>
      <c r="C69" s="130"/>
    </row>
    <row r="70" spans="1:3">
      <c r="A70" s="145" t="s">
        <v>5583</v>
      </c>
      <c r="B70" s="130"/>
      <c r="C70" s="130"/>
    </row>
    <row r="71" spans="1:3">
      <c r="A71" s="145"/>
      <c r="B71" s="130"/>
      <c r="C71" s="130"/>
    </row>
    <row r="72" spans="1:3">
      <c r="A72" s="145" t="s">
        <v>5575</v>
      </c>
      <c r="B72" s="130"/>
      <c r="C72" s="130"/>
    </row>
    <row r="73" spans="1:3">
      <c r="A73" s="145"/>
      <c r="B73" s="130"/>
      <c r="C73" s="130"/>
    </row>
    <row r="74" spans="1:3">
      <c r="A74" s="145" t="s">
        <v>5576</v>
      </c>
      <c r="B74" s="130"/>
      <c r="C74" s="130"/>
    </row>
    <row r="75" spans="1:3">
      <c r="A75" s="145"/>
      <c r="B75" s="130"/>
      <c r="C75" s="130"/>
    </row>
    <row r="76" spans="1:3">
      <c r="A76" s="145" t="s">
        <v>5584</v>
      </c>
      <c r="B76" s="130"/>
      <c r="C76" s="130"/>
    </row>
    <row r="77" spans="1:3">
      <c r="A77" s="145"/>
      <c r="B77" s="130"/>
      <c r="C77" s="130"/>
    </row>
    <row r="78" spans="1:3">
      <c r="A78" s="145" t="s">
        <v>5575</v>
      </c>
      <c r="B78" s="130"/>
      <c r="C78" s="130"/>
    </row>
    <row r="79" spans="1:3">
      <c r="A79" s="145"/>
      <c r="B79" s="130"/>
      <c r="C79" s="130"/>
    </row>
    <row r="80" spans="1:3">
      <c r="A80" s="145" t="s">
        <v>5576</v>
      </c>
      <c r="B80" s="130"/>
      <c r="C80" s="130"/>
    </row>
    <row r="81" spans="1:3">
      <c r="A81" s="145"/>
      <c r="B81" s="130"/>
      <c r="C81" s="130"/>
    </row>
    <row r="82" spans="1:3">
      <c r="A82" s="145" t="s">
        <v>5585</v>
      </c>
      <c r="B82" s="130"/>
      <c r="C82" s="130"/>
    </row>
    <row r="83" spans="1:3">
      <c r="A83" s="130"/>
      <c r="B83" s="130"/>
      <c r="C83" s="130"/>
    </row>
    <row r="84" spans="1:3">
      <c r="A84" s="127" t="s">
        <v>5586</v>
      </c>
      <c r="B84" s="128"/>
      <c r="C84" s="128"/>
    </row>
    <row r="85" spans="1:3">
      <c r="A85" s="130"/>
      <c r="B85" s="130"/>
      <c r="C85" s="130"/>
    </row>
    <row r="86" spans="1:3">
      <c r="A86" s="131" t="s">
        <v>5587</v>
      </c>
      <c r="B86" s="131"/>
      <c r="C86" s="131"/>
    </row>
    <row r="87" spans="1:3">
      <c r="A87" s="130"/>
      <c r="B87" s="130"/>
      <c r="C87" s="130"/>
    </row>
    <row r="88" spans="1:3" ht="26.1">
      <c r="A88" s="130" t="s">
        <v>5588</v>
      </c>
      <c r="B88" s="130"/>
      <c r="C88" s="130"/>
    </row>
    <row r="89" spans="1:3" ht="13.5" thickBot="1">
      <c r="A89" s="130"/>
      <c r="B89" s="130"/>
      <c r="C89" s="130"/>
    </row>
    <row r="90" spans="1:3" ht="13.5" thickBot="1">
      <c r="A90" s="146" t="s">
        <v>5589</v>
      </c>
      <c r="B90" s="146" t="s">
        <v>1626</v>
      </c>
      <c r="C90" s="130"/>
    </row>
    <row r="91" spans="1:3" ht="13.5" thickBot="1">
      <c r="A91" s="139" t="s">
        <v>5590</v>
      </c>
      <c r="B91" s="139" t="s">
        <v>5591</v>
      </c>
      <c r="C91" s="130"/>
    </row>
    <row r="92" spans="1:3" ht="13.5" thickBot="1">
      <c r="A92" s="139" t="s">
        <v>5592</v>
      </c>
      <c r="B92" s="139" t="s">
        <v>5593</v>
      </c>
      <c r="C92" s="130"/>
    </row>
    <row r="93" spans="1:3" ht="13.5" thickBot="1">
      <c r="A93" s="139" t="s">
        <v>5594</v>
      </c>
      <c r="B93" s="139" t="s">
        <v>5595</v>
      </c>
      <c r="C93" s="130"/>
    </row>
    <row r="94" spans="1:3" ht="13.5" thickBot="1">
      <c r="A94" s="139" t="s">
        <v>5596</v>
      </c>
      <c r="B94" s="139" t="s">
        <v>5597</v>
      </c>
      <c r="C94" s="130"/>
    </row>
    <row r="95" spans="1:3" ht="13.5" thickBot="1">
      <c r="A95" s="139" t="s">
        <v>5598</v>
      </c>
      <c r="B95" s="139" t="s">
        <v>5599</v>
      </c>
      <c r="C95" s="130"/>
    </row>
    <row r="96" spans="1:3" ht="13.5" thickBot="1">
      <c r="A96" s="139" t="s">
        <v>5600</v>
      </c>
      <c r="B96" s="139" t="s">
        <v>5601</v>
      </c>
      <c r="C96" s="130"/>
    </row>
    <row r="97" spans="1:3" ht="13.5" thickBot="1">
      <c r="A97" s="139" t="s">
        <v>5602</v>
      </c>
      <c r="B97" s="139" t="s">
        <v>5603</v>
      </c>
      <c r="C97" s="130"/>
    </row>
    <row r="98" spans="1:3" ht="13.5" thickBot="1">
      <c r="A98" s="139" t="s">
        <v>5604</v>
      </c>
      <c r="B98" s="139" t="s">
        <v>5605</v>
      </c>
      <c r="C98" s="130"/>
    </row>
    <row r="99" spans="1:3" ht="13.5" thickBot="1">
      <c r="A99" s="139" t="s">
        <v>5606</v>
      </c>
      <c r="B99" s="139" t="s">
        <v>5607</v>
      </c>
      <c r="C99" s="130"/>
    </row>
    <row r="100" spans="1:3" ht="13.5" thickBot="1">
      <c r="A100" s="139" t="s">
        <v>519</v>
      </c>
      <c r="B100" s="139" t="s">
        <v>5608</v>
      </c>
      <c r="C100" s="130"/>
    </row>
    <row r="101" spans="1:3">
      <c r="A101" s="130"/>
      <c r="B101" s="130"/>
      <c r="C101" s="130"/>
    </row>
    <row r="102" spans="1:3">
      <c r="A102" s="127" t="s">
        <v>5609</v>
      </c>
      <c r="B102" s="128"/>
      <c r="C102" s="128"/>
    </row>
    <row r="103" spans="1:3">
      <c r="A103" s="130"/>
      <c r="B103" s="130"/>
      <c r="C103" s="130"/>
    </row>
    <row r="104" spans="1:3">
      <c r="A104" s="131" t="s">
        <v>5610</v>
      </c>
      <c r="B104" s="131"/>
      <c r="C104" s="131"/>
    </row>
    <row r="105" spans="1:3">
      <c r="A105" s="130"/>
      <c r="B105" s="130"/>
      <c r="C105" s="130"/>
    </row>
    <row r="106" spans="1:3">
      <c r="A106" s="145" t="s">
        <v>5611</v>
      </c>
      <c r="B106" s="130"/>
      <c r="C106" s="130"/>
    </row>
    <row r="107" spans="1:3">
      <c r="A107" s="130"/>
      <c r="B107" s="130"/>
      <c r="C107" s="130"/>
    </row>
    <row r="108" spans="1:3" ht="39">
      <c r="A108" s="145" t="s">
        <v>5612</v>
      </c>
      <c r="B108" s="130"/>
      <c r="C108" s="130"/>
    </row>
    <row r="109" spans="1:3">
      <c r="A109" s="145"/>
      <c r="B109" s="130"/>
      <c r="C109" s="130"/>
    </row>
    <row r="110" spans="1:3">
      <c r="A110" s="145" t="s">
        <v>5575</v>
      </c>
      <c r="B110" s="130"/>
      <c r="C110" s="130"/>
    </row>
    <row r="111" spans="1:3">
      <c r="A111" s="145"/>
      <c r="B111" s="130"/>
      <c r="C111" s="130"/>
    </row>
    <row r="112" spans="1:3">
      <c r="A112" s="145" t="s">
        <v>5576</v>
      </c>
      <c r="B112" s="130"/>
      <c r="C112" s="130"/>
    </row>
    <row r="113" spans="1:3">
      <c r="A113" s="145"/>
      <c r="B113" s="130"/>
      <c r="C113" s="130"/>
    </row>
    <row r="114" spans="1:3">
      <c r="A114" s="145" t="s">
        <v>5613</v>
      </c>
      <c r="B114" s="130"/>
      <c r="C114" s="130"/>
    </row>
    <row r="115" spans="1:3">
      <c r="A115" s="145"/>
      <c r="B115" s="130"/>
      <c r="C115" s="130"/>
    </row>
    <row r="116" spans="1:3" ht="39">
      <c r="A116" s="145" t="s">
        <v>5614</v>
      </c>
      <c r="B116" s="130"/>
      <c r="C116" s="130"/>
    </row>
    <row r="117" spans="1:3">
      <c r="A117" s="145"/>
      <c r="B117" s="130"/>
      <c r="C117" s="130"/>
    </row>
    <row r="118" spans="1:3">
      <c r="A118" s="145" t="s">
        <v>5575</v>
      </c>
      <c r="B118" s="130"/>
      <c r="C118" s="130"/>
    </row>
    <row r="119" spans="1:3">
      <c r="A119" s="145"/>
      <c r="B119" s="130"/>
      <c r="C119" s="130"/>
    </row>
    <row r="120" spans="1:3">
      <c r="A120" s="145" t="s">
        <v>5576</v>
      </c>
      <c r="B120" s="130"/>
      <c r="C120" s="130"/>
    </row>
    <row r="121" spans="1:3">
      <c r="A121" s="145"/>
      <c r="B121" s="130"/>
      <c r="C121" s="130"/>
    </row>
    <row r="122" spans="1:3">
      <c r="A122" s="145" t="s">
        <v>5615</v>
      </c>
      <c r="B122" s="130"/>
      <c r="C122" s="130"/>
    </row>
    <row r="123" spans="1:3">
      <c r="A123" s="145"/>
      <c r="B123" s="130"/>
      <c r="C123" s="130"/>
    </row>
    <row r="124" spans="1:3" ht="39">
      <c r="A124" s="145" t="s">
        <v>5616</v>
      </c>
      <c r="B124" s="130"/>
      <c r="C124" s="130"/>
    </row>
    <row r="125" spans="1:3">
      <c r="A125" s="145"/>
      <c r="B125" s="130"/>
      <c r="C125" s="130"/>
    </row>
    <row r="126" spans="1:3">
      <c r="A126" s="145" t="s">
        <v>5575</v>
      </c>
      <c r="B126" s="130"/>
      <c r="C126" s="130"/>
    </row>
    <row r="127" spans="1:3">
      <c r="A127" s="145"/>
      <c r="B127" s="130"/>
      <c r="C127" s="130"/>
    </row>
    <row r="128" spans="1:3">
      <c r="A128" s="145" t="s">
        <v>5576</v>
      </c>
      <c r="B128" s="130"/>
      <c r="C128" s="130"/>
    </row>
    <row r="129" spans="1:3">
      <c r="A129" s="145"/>
      <c r="B129" s="130"/>
      <c r="C129" s="130"/>
    </row>
    <row r="130" spans="1:3">
      <c r="A130" s="145" t="s">
        <v>5617</v>
      </c>
      <c r="B130" s="130"/>
      <c r="C130" s="130"/>
    </row>
    <row r="131" spans="1:3">
      <c r="A131" s="145"/>
      <c r="B131" s="130"/>
      <c r="C131" s="130"/>
    </row>
    <row r="132" spans="1:3" ht="39">
      <c r="A132" s="145" t="s">
        <v>5618</v>
      </c>
      <c r="B132" s="130"/>
      <c r="C132" s="130"/>
    </row>
    <row r="133" spans="1:3">
      <c r="A133" s="145"/>
      <c r="B133" s="130"/>
      <c r="C133" s="130"/>
    </row>
    <row r="134" spans="1:3">
      <c r="A134" s="145" t="s">
        <v>5575</v>
      </c>
      <c r="B134" s="130"/>
      <c r="C134" s="130"/>
    </row>
    <row r="135" spans="1:3">
      <c r="A135" s="145"/>
      <c r="B135" s="130"/>
      <c r="C135" s="130"/>
    </row>
    <row r="136" spans="1:3">
      <c r="A136" s="145" t="s">
        <v>5576</v>
      </c>
      <c r="B136" s="130"/>
      <c r="C136" s="130"/>
    </row>
    <row r="137" spans="1:3">
      <c r="A137" s="145"/>
      <c r="B137" s="130"/>
      <c r="C137" s="130"/>
    </row>
    <row r="138" spans="1:3">
      <c r="A138" s="145" t="s">
        <v>5619</v>
      </c>
      <c r="B138" s="130"/>
      <c r="C138" s="130"/>
    </row>
    <row r="139" spans="1:3">
      <c r="A139" s="145"/>
      <c r="B139" s="130"/>
      <c r="C139" s="130"/>
    </row>
    <row r="140" spans="1:3" ht="26.1">
      <c r="A140" s="145" t="s">
        <v>5620</v>
      </c>
      <c r="B140" s="130"/>
      <c r="C140" s="130"/>
    </row>
    <row r="141" spans="1:3">
      <c r="A141" s="145"/>
      <c r="B141" s="130"/>
      <c r="C141" s="130"/>
    </row>
    <row r="142" spans="1:3">
      <c r="A142" s="145" t="s">
        <v>5575</v>
      </c>
      <c r="B142" s="130"/>
      <c r="C142" s="130"/>
    </row>
    <row r="143" spans="1:3">
      <c r="A143" s="145"/>
      <c r="B143" s="130"/>
      <c r="C143" s="130"/>
    </row>
    <row r="144" spans="1:3">
      <c r="A144" s="145" t="s">
        <v>5576</v>
      </c>
      <c r="B144" s="130"/>
      <c r="C144" s="130"/>
    </row>
    <row r="145" spans="1:3">
      <c r="A145" s="145"/>
      <c r="B145" s="130"/>
      <c r="C145" s="130"/>
    </row>
    <row r="146" spans="1:3">
      <c r="A146" s="145" t="s">
        <v>5621</v>
      </c>
      <c r="B146" s="130"/>
      <c r="C146" s="130"/>
    </row>
    <row r="147" spans="1:3">
      <c r="A147" s="145"/>
      <c r="B147" s="130"/>
      <c r="C147" s="130"/>
    </row>
    <row r="148" spans="1:3" ht="39">
      <c r="A148" s="145" t="s">
        <v>5622</v>
      </c>
      <c r="B148" s="130"/>
      <c r="C148" s="130"/>
    </row>
    <row r="149" spans="1:3">
      <c r="A149" s="145"/>
      <c r="B149" s="130"/>
      <c r="C149" s="130"/>
    </row>
    <row r="150" spans="1:3">
      <c r="A150" s="145" t="s">
        <v>5575</v>
      </c>
      <c r="B150" s="130"/>
      <c r="C150" s="130"/>
    </row>
    <row r="151" spans="1:3">
      <c r="A151" s="145"/>
      <c r="B151" s="130"/>
      <c r="C151" s="130"/>
    </row>
    <row r="152" spans="1:3">
      <c r="A152" s="145" t="s">
        <v>5576</v>
      </c>
      <c r="B152" s="130"/>
      <c r="C152" s="130"/>
    </row>
    <row r="153" spans="1:3">
      <c r="A153" s="145"/>
      <c r="B153" s="130"/>
      <c r="C153" s="130"/>
    </row>
    <row r="154" spans="1:3">
      <c r="A154" s="145" t="s">
        <v>5623</v>
      </c>
      <c r="B154" s="130"/>
      <c r="C154" s="130"/>
    </row>
    <row r="155" spans="1:3">
      <c r="A155" s="145"/>
      <c r="B155" s="130"/>
      <c r="C155" s="130"/>
    </row>
    <row r="156" spans="1:3" ht="39">
      <c r="A156" s="145" t="s">
        <v>5624</v>
      </c>
      <c r="B156" s="130"/>
      <c r="C156" s="130"/>
    </row>
    <row r="157" spans="1:3">
      <c r="A157" s="145"/>
      <c r="B157" s="130"/>
      <c r="C157" s="130"/>
    </row>
    <row r="158" spans="1:3">
      <c r="A158" s="145" t="s">
        <v>5575</v>
      </c>
      <c r="B158" s="130"/>
      <c r="C158" s="130"/>
    </row>
    <row r="159" spans="1:3">
      <c r="A159" s="145"/>
      <c r="B159" s="130"/>
      <c r="C159" s="130"/>
    </row>
    <row r="160" spans="1:3">
      <c r="A160" s="145" t="s">
        <v>5576</v>
      </c>
      <c r="B160" s="130"/>
      <c r="C160" s="130"/>
    </row>
    <row r="161" spans="1:3">
      <c r="A161" s="145"/>
      <c r="B161" s="130"/>
      <c r="C161" s="130"/>
    </row>
    <row r="162" spans="1:3">
      <c r="A162" s="145" t="s">
        <v>5625</v>
      </c>
      <c r="B162" s="130"/>
      <c r="C162" s="130"/>
    </row>
    <row r="163" spans="1:3">
      <c r="A163" s="145"/>
      <c r="B163" s="130"/>
      <c r="C163" s="130"/>
    </row>
    <row r="164" spans="1:3">
      <c r="A164" s="145" t="s">
        <v>5626</v>
      </c>
      <c r="B164" s="130"/>
      <c r="C164" s="130"/>
    </row>
    <row r="165" spans="1:3">
      <c r="A165" s="145"/>
      <c r="B165" s="130"/>
      <c r="C165" s="130"/>
    </row>
    <row r="166" spans="1:3">
      <c r="A166" s="145" t="s">
        <v>5627</v>
      </c>
      <c r="B166" s="130"/>
      <c r="C166" s="130"/>
    </row>
    <row r="167" spans="1:3">
      <c r="A167" s="145"/>
      <c r="B167" s="130"/>
      <c r="C167" s="130"/>
    </row>
    <row r="168" spans="1:3">
      <c r="A168" s="145" t="s">
        <v>5575</v>
      </c>
      <c r="B168" s="130"/>
      <c r="C168" s="130"/>
    </row>
    <row r="169" spans="1:3">
      <c r="A169" s="145"/>
      <c r="B169" s="130"/>
      <c r="C169" s="130"/>
    </row>
    <row r="170" spans="1:3">
      <c r="A170" s="145" t="s">
        <v>5576</v>
      </c>
      <c r="B170" s="130"/>
      <c r="C170" s="130"/>
    </row>
    <row r="171" spans="1:3">
      <c r="A171" s="145"/>
      <c r="B171" s="130"/>
      <c r="C171" s="130"/>
    </row>
    <row r="172" spans="1:3">
      <c r="A172" s="145" t="s">
        <v>5628</v>
      </c>
      <c r="B172" s="130"/>
      <c r="C172" s="130"/>
    </row>
    <row r="173" spans="1:3">
      <c r="A173" s="145"/>
      <c r="B173" s="130"/>
      <c r="C173" s="130"/>
    </row>
    <row r="174" spans="1:3" ht="39">
      <c r="A174" s="145" t="s">
        <v>5629</v>
      </c>
      <c r="B174" s="130"/>
      <c r="C174" s="130"/>
    </row>
    <row r="175" spans="1:3">
      <c r="A175" s="130"/>
      <c r="B175" s="130"/>
      <c r="C175" s="130"/>
    </row>
    <row r="176" spans="1:3">
      <c r="A176" s="128" t="s">
        <v>5630</v>
      </c>
      <c r="B176" s="128"/>
      <c r="C176" s="128"/>
    </row>
    <row r="177" spans="1:3">
      <c r="A177" s="130"/>
      <c r="B177" s="130"/>
      <c r="C177" s="130"/>
    </row>
    <row r="178" spans="1:3">
      <c r="A178" s="127" t="s">
        <v>5631</v>
      </c>
      <c r="B178" s="128"/>
      <c r="C178" s="128"/>
    </row>
    <row r="180" spans="1:3" ht="26.1">
      <c r="A180" s="144" t="s">
        <v>5632</v>
      </c>
      <c r="B180" s="144"/>
      <c r="C180" s="144"/>
    </row>
    <row r="181" spans="1:3">
      <c r="A181" s="257"/>
      <c r="B181" s="257"/>
      <c r="C181" s="257"/>
    </row>
    <row r="182" spans="1:3">
      <c r="A182" s="257" t="s">
        <v>5633</v>
      </c>
      <c r="B182" s="257" t="s">
        <v>5634</v>
      </c>
      <c r="C182" s="257" t="s">
        <v>5635</v>
      </c>
    </row>
    <row r="183" spans="1:3" ht="39">
      <c r="A183" s="257" t="s">
        <v>1336</v>
      </c>
      <c r="B183" s="257" t="s">
        <v>5636</v>
      </c>
      <c r="C183" s="257" t="s">
        <v>5637</v>
      </c>
    </row>
    <row r="184" spans="1:3" ht="26.1">
      <c r="A184" s="257" t="s">
        <v>1343</v>
      </c>
      <c r="B184" s="257" t="s">
        <v>5638</v>
      </c>
      <c r="C184" s="257" t="s">
        <v>5639</v>
      </c>
    </row>
    <row r="185" spans="1:3" ht="39">
      <c r="A185" s="257" t="s">
        <v>1350</v>
      </c>
      <c r="B185" s="257" t="s">
        <v>5640</v>
      </c>
      <c r="C185" s="257" t="s">
        <v>5641</v>
      </c>
    </row>
    <row r="186" spans="1:3" ht="39">
      <c r="A186" s="257" t="s">
        <v>1357</v>
      </c>
      <c r="B186" s="257" t="s">
        <v>5642</v>
      </c>
      <c r="C186" s="257" t="s">
        <v>5643</v>
      </c>
    </row>
    <row r="187" spans="1:3" ht="26.1">
      <c r="A187" s="257" t="s">
        <v>1364</v>
      </c>
      <c r="B187" s="257" t="s">
        <v>5644</v>
      </c>
      <c r="C187" s="257" t="s">
        <v>5645</v>
      </c>
    </row>
  </sheetData>
  <hyperlinks>
    <hyperlink ref="C8" r:id="rId1" display="https://wipro365-my.sharepoint.com/personal/su20278582_wipro_com/_layouts/15/Doc.aspx?sourcedoc=%7B9569910D-036C-4928-8E5D-08EF1643B517%7D&amp;file=Overall%20Architecture%20-%20Copy.docx&amp;action=default&amp;mobileredirect=true" xr:uid="{600973E5-9AE9-4442-85AF-0FADDAD36805}"/>
    <hyperlink ref="C9" r:id="rId2" display="https://wipro365-my.sharepoint.com/personal/su20278582_wipro_com/_layouts/15/Doc.aspx?sourcedoc=%7B9569910D-036C-4928-8E5D-08EF1643B517%7D&amp;file=Overall%20Architecture%20-%20Copy.docx&amp;action=default&amp;mobileredirect=true" xr:uid="{A0940590-720D-42C1-9665-AAD4B3F94669}"/>
    <hyperlink ref="C10" r:id="rId3" display="https://wipro365-my.sharepoint.com/personal/su20278582_wipro_com/_layouts/15/Doc.aspx?sourcedoc=%7B9569910D-036C-4928-8E5D-08EF1643B517%7D&amp;file=Overall%20Architecture%20-%20Copy.docx&amp;action=default&amp;mobileredirect=true" xr:uid="{EB96FFD7-F48E-495D-93FC-21330FC9EFFC}"/>
    <hyperlink ref="C11" r:id="rId4" display="https://wipro365-my.sharepoint.com/personal/su20278582_wipro_com/_layouts/15/Doc.aspx?sourcedoc=%7B9569910D-036C-4928-8E5D-08EF1643B517%7D&amp;file=Overall%20Architecture%20-%20Copy.docx&amp;action=default&amp;mobileredirect=true" xr:uid="{D6DE6E2A-B703-4AF5-B837-2AED21703711}"/>
    <hyperlink ref="C12" r:id="rId5" display="https://wipro365-my.sharepoint.com/personal/su20278582_wipro_com/_layouts/15/Doc.aspx?sourcedoc=%7B9569910D-036C-4928-8E5D-08EF1643B517%7D&amp;file=Overall%20Architecture%20-%20Copy.docx&amp;action=default&amp;mobileredirect=true" xr:uid="{FA543DB5-055E-4840-9C44-946DDA66D1C0}"/>
    <hyperlink ref="C13" r:id="rId6" display="https://wipro365-my.sharepoint.com/personal/su20278582_wipro_com/_layouts/15/Doc.aspx?sourcedoc=%7B9569910D-036C-4928-8E5D-08EF1643B517%7D&amp;file=Overall%20Architecture%20-%20Copy.docx&amp;action=default&amp;mobileredirect=true" xr:uid="{3BD82D46-5158-43E2-ADD9-CA49173271B1}"/>
    <hyperlink ref="C14" r:id="rId7" display="https://wipro365-my.sharepoint.com/personal/su20278582_wipro_com/_layouts/15/Doc.aspx?sourcedoc=%7B9569910D-036C-4928-8E5D-08EF1643B517%7D&amp;file=Overall%20Architecture%20-%20Copy.docx&amp;action=default&amp;mobileredirect=true" xr:uid="{2AC4CA20-2D54-4C22-950A-18B8111DC6DC}"/>
    <hyperlink ref="C15" r:id="rId8" display="https://wipro365-my.sharepoint.com/personal/su20278582_wipro_com/_layouts/15/Doc.aspx?sourcedoc=%7B9569910D-036C-4928-8E5D-08EF1643B517%7D&amp;file=Overall%20Architecture%20-%20Copy.docx&amp;action=default&amp;mobileredirect=true" xr:uid="{74E6DF1B-C7E5-4BE6-B904-76DB9051BBE4}"/>
    <hyperlink ref="C16" r:id="rId9" display="https://wipro365-my.sharepoint.com/personal/su20278582_wipro_com/_layouts/15/Doc.aspx?sourcedoc=%7B9569910D-036C-4928-8E5D-08EF1643B517%7D&amp;file=Overall%20Architecture%20-%20Copy.docx&amp;action=default&amp;mobileredirect=true" xr:uid="{CF786176-9C17-43DD-93C5-E0A62D273C90}"/>
    <hyperlink ref="C17" r:id="rId10" display="https://wipro365-my.sharepoint.com/personal/su20278582_wipro_com/_layouts/15/Doc.aspx?sourcedoc=%7B9569910D-036C-4928-8E5D-08EF1643B517%7D&amp;file=Overall%20Architecture%20-%20Copy.docx&amp;action=default&amp;mobileredirect=true" xr:uid="{359F8B5F-C42B-4613-B769-140830EEEAFE}"/>
    <hyperlink ref="A84" r:id="rId11" display="https://wipro365-my.sharepoint.com/personal/su20278582_wipro_com/_layouts/15/Doc.aspx?sourcedoc=%7B9569910D-036C-4928-8E5D-08EF1643B517%7D&amp;file=Overall%20Architecture%20-%20Copy.docx&amp;action=default&amp;mobileredirect=true" xr:uid="{49F1EED9-4FE1-4DC4-9FAD-8F70F330DBF1}"/>
    <hyperlink ref="A102" r:id="rId12" display="https://wipro365-my.sharepoint.com/personal/su20278582_wipro_com/_layouts/15/Doc.aspx?sourcedoc=%7B9569910D-036C-4928-8E5D-08EF1643B517%7D&amp;file=Overall%20Architecture%20-%20Copy.docx&amp;action=default&amp;mobileredirect=true" xr:uid="{1916D5AA-CAAE-46EB-B21A-3638D49802D1}"/>
    <hyperlink ref="A178" r:id="rId13" display="https://wipro365-my.sharepoint.com/personal/su20278582_wipro_com/_layouts/15/Doc.aspx?sourcedoc=%7B9569910D-036C-4928-8E5D-08EF1643B517%7D&amp;file=Overall%20Architecture%20-%20Copy.docx&amp;action=default&amp;mobileredirect=true" xr:uid="{22DAC583-D570-45D8-8152-78C4C7E918C2}"/>
  </hyperlinks>
  <pageMargins left="0.7" right="0.7" top="0.75" bottom="0.75" header="0.3" footer="0.3"/>
  <headerFooter>
    <oddFooter>&amp;L_x000D_&amp;1#&amp;"Aptos"&amp;10&amp;K000000 Confidential-Internal</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9D0BB-5955-44A3-A08D-CAB31147C15E}">
  <dimension ref="A1:B14"/>
  <sheetViews>
    <sheetView workbookViewId="0">
      <selection activeCell="I11" sqref="I11:J11"/>
    </sheetView>
  </sheetViews>
  <sheetFormatPr defaultRowHeight="14.45"/>
  <cols>
    <col min="1" max="1" width="81.85546875" customWidth="1"/>
    <col min="2" max="2" width="27.28515625" customWidth="1"/>
  </cols>
  <sheetData>
    <row r="1" spans="1:2" ht="23.45">
      <c r="A1" s="360" t="s">
        <v>5646</v>
      </c>
      <c r="B1" s="360"/>
    </row>
    <row r="2" spans="1:2">
      <c r="A2" s="362" t="s">
        <v>5647</v>
      </c>
      <c r="B2" s="362"/>
    </row>
    <row r="3" spans="1:2" ht="20.100000000000001" customHeight="1"/>
    <row r="4" spans="1:2" ht="15.95">
      <c r="A4" s="363" t="s">
        <v>5648</v>
      </c>
      <c r="B4" s="363"/>
    </row>
    <row r="5" spans="1:2" ht="228">
      <c r="A5" s="147" t="s">
        <v>5649</v>
      </c>
      <c r="B5" s="89" t="s">
        <v>5650</v>
      </c>
    </row>
    <row r="6" spans="1:2" ht="20.100000000000001" customHeight="1">
      <c r="B6" s="57"/>
    </row>
    <row r="7" spans="1:2" ht="15.95">
      <c r="A7" s="363" t="s">
        <v>5651</v>
      </c>
      <c r="B7" s="339"/>
    </row>
    <row r="8" spans="1:2" ht="409.5">
      <c r="A8" s="147" t="s">
        <v>5652</v>
      </c>
      <c r="B8" s="89" t="s">
        <v>5650</v>
      </c>
    </row>
    <row r="9" spans="1:2" ht="20.100000000000001" customHeight="1">
      <c r="B9" s="57"/>
    </row>
    <row r="10" spans="1:2" ht="15.95">
      <c r="A10" s="363" t="s">
        <v>5653</v>
      </c>
      <c r="B10" s="339"/>
    </row>
    <row r="11" spans="1:2" ht="409.5">
      <c r="A11" s="147" t="s">
        <v>5654</v>
      </c>
      <c r="B11" s="89" t="s">
        <v>5650</v>
      </c>
    </row>
    <row r="13" spans="1:2" ht="43.5">
      <c r="A13" s="57" t="s">
        <v>5655</v>
      </c>
      <c r="B13" s="57" t="s">
        <v>5656</v>
      </c>
    </row>
    <row r="14" spans="1:2" ht="246.6">
      <c r="A14" s="57" t="s">
        <v>5657</v>
      </c>
      <c r="B14" s="57" t="s">
        <v>5658</v>
      </c>
    </row>
  </sheetData>
  <mergeCells count="5">
    <mergeCell ref="A1:B1"/>
    <mergeCell ref="A2:B2"/>
    <mergeCell ref="A4:B4"/>
    <mergeCell ref="A7:B7"/>
    <mergeCell ref="A10:B10"/>
  </mergeCells>
  <pageMargins left="0.7" right="0.7" top="0.75" bottom="0.75" header="0.3" footer="0.3"/>
  <headerFooter>
    <oddFooter>&amp;L_x000D_&amp;1#&amp;"Aptos"&amp;10&amp;K000000 Confidential-Internal</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64E78-41B4-417C-815F-D96D810E729D}">
  <dimension ref="A1:L28"/>
  <sheetViews>
    <sheetView workbookViewId="0">
      <selection activeCell="I11" sqref="I11:J11"/>
    </sheetView>
  </sheetViews>
  <sheetFormatPr defaultRowHeight="14.45"/>
  <cols>
    <col min="1" max="1" width="40" customWidth="1"/>
    <col min="7" max="7" width="19.42578125" customWidth="1"/>
  </cols>
  <sheetData>
    <row r="1" spans="1:12" ht="15.6">
      <c r="A1" s="26" t="s">
        <v>5659</v>
      </c>
      <c r="B1" s="27"/>
      <c r="C1" s="27"/>
      <c r="D1" s="27"/>
      <c r="E1" s="27"/>
      <c r="F1" s="27"/>
      <c r="G1" s="27"/>
    </row>
    <row r="2" spans="1:12" ht="15.95" thickBot="1">
      <c r="A2" s="17"/>
      <c r="B2" s="27"/>
      <c r="C2" s="27"/>
      <c r="D2" s="27"/>
      <c r="E2" s="27"/>
      <c r="F2" s="27"/>
      <c r="G2" s="27"/>
    </row>
    <row r="3" spans="1:12" ht="62.45" thickBot="1">
      <c r="A3" s="66" t="s">
        <v>315</v>
      </c>
      <c r="B3" s="66" t="s">
        <v>5660</v>
      </c>
      <c r="C3" s="66" t="s">
        <v>521</v>
      </c>
      <c r="D3" s="66" t="s">
        <v>5661</v>
      </c>
      <c r="E3" s="66" t="s">
        <v>1308</v>
      </c>
      <c r="F3" s="66" t="s">
        <v>1315</v>
      </c>
      <c r="G3" s="66" t="s">
        <v>1329</v>
      </c>
      <c r="H3" s="66" t="s">
        <v>1336</v>
      </c>
      <c r="I3" s="66" t="s">
        <v>1343</v>
      </c>
      <c r="J3" s="66" t="s">
        <v>1350</v>
      </c>
      <c r="K3" s="66" t="s">
        <v>1357</v>
      </c>
      <c r="L3" s="66" t="s">
        <v>1364</v>
      </c>
    </row>
    <row r="4" spans="1:12" ht="15.95" thickBot="1">
      <c r="A4" s="67" t="s">
        <v>441</v>
      </c>
      <c r="B4" s="67" t="s">
        <v>3364</v>
      </c>
      <c r="C4" s="67" t="s">
        <v>3363</v>
      </c>
      <c r="D4" s="67" t="s">
        <v>3362</v>
      </c>
      <c r="E4" s="67" t="s">
        <v>3362</v>
      </c>
      <c r="F4" s="67" t="s">
        <v>3363</v>
      </c>
      <c r="G4" s="67" t="s">
        <v>5662</v>
      </c>
      <c r="H4" s="67" t="s">
        <v>3363</v>
      </c>
      <c r="I4" s="67" t="s">
        <v>3364</v>
      </c>
      <c r="J4" s="67" t="s">
        <v>3363</v>
      </c>
      <c r="K4" s="67" t="s">
        <v>3364</v>
      </c>
      <c r="L4" s="67" t="s">
        <v>5662</v>
      </c>
    </row>
    <row r="5" spans="1:12" ht="15.95" thickBot="1">
      <c r="A5" s="67" t="s">
        <v>5663</v>
      </c>
      <c r="B5" s="67" t="s">
        <v>3364</v>
      </c>
      <c r="C5" s="67" t="s">
        <v>3363</v>
      </c>
      <c r="D5" s="67" t="s">
        <v>3362</v>
      </c>
      <c r="E5" s="67" t="s">
        <v>3362</v>
      </c>
      <c r="F5" s="67" t="s">
        <v>3362</v>
      </c>
      <c r="G5" s="67" t="s">
        <v>5662</v>
      </c>
      <c r="H5" s="67" t="s">
        <v>5662</v>
      </c>
      <c r="I5" s="67" t="s">
        <v>3363</v>
      </c>
      <c r="J5" s="67" t="s">
        <v>3363</v>
      </c>
      <c r="K5" s="67" t="s">
        <v>3364</v>
      </c>
      <c r="L5" s="67" t="s">
        <v>5662</v>
      </c>
    </row>
    <row r="6" spans="1:12" ht="15.95" thickBot="1">
      <c r="A6" s="67" t="s">
        <v>447</v>
      </c>
      <c r="B6" s="67" t="s">
        <v>3364</v>
      </c>
      <c r="C6" s="67" t="s">
        <v>3363</v>
      </c>
      <c r="D6" s="67" t="s">
        <v>3362</v>
      </c>
      <c r="E6" s="67" t="s">
        <v>5662</v>
      </c>
      <c r="F6" s="67" t="s">
        <v>3362</v>
      </c>
      <c r="G6" s="67" t="s">
        <v>5662</v>
      </c>
      <c r="H6" s="67" t="s">
        <v>3363</v>
      </c>
      <c r="I6" s="67" t="s">
        <v>3363</v>
      </c>
      <c r="J6" s="67" t="s">
        <v>5662</v>
      </c>
      <c r="K6" s="67" t="s">
        <v>3364</v>
      </c>
      <c r="L6" s="67" t="s">
        <v>3363</v>
      </c>
    </row>
    <row r="7" spans="1:12" ht="15.95" thickBot="1">
      <c r="A7" s="67" t="s">
        <v>5664</v>
      </c>
      <c r="B7" s="67" t="s">
        <v>3364</v>
      </c>
      <c r="C7" s="67" t="s">
        <v>3363</v>
      </c>
      <c r="D7" s="67" t="s">
        <v>5662</v>
      </c>
      <c r="E7" s="67" t="s">
        <v>3362</v>
      </c>
      <c r="F7" s="67" t="s">
        <v>3362</v>
      </c>
      <c r="G7" s="67" t="s">
        <v>5662</v>
      </c>
      <c r="H7" s="67" t="s">
        <v>3363</v>
      </c>
      <c r="I7" s="67" t="s">
        <v>3364</v>
      </c>
      <c r="J7" s="67" t="s">
        <v>5662</v>
      </c>
      <c r="K7" s="67" t="s">
        <v>3364</v>
      </c>
      <c r="L7" s="67" t="s">
        <v>3363</v>
      </c>
    </row>
    <row r="8" spans="1:12" ht="15.95" thickBot="1">
      <c r="A8" s="67" t="s">
        <v>502</v>
      </c>
      <c r="B8" s="67" t="s">
        <v>3364</v>
      </c>
      <c r="C8" s="67" t="s">
        <v>3362</v>
      </c>
      <c r="D8" s="67" t="s">
        <v>5662</v>
      </c>
      <c r="E8" s="67" t="s">
        <v>3362</v>
      </c>
      <c r="F8" s="67" t="s">
        <v>3363</v>
      </c>
      <c r="G8" s="67" t="s">
        <v>5662</v>
      </c>
      <c r="H8" s="67" t="s">
        <v>3363</v>
      </c>
      <c r="I8" s="67" t="s">
        <v>3364</v>
      </c>
      <c r="J8" s="67" t="s">
        <v>5662</v>
      </c>
      <c r="K8" s="67" t="s">
        <v>3364</v>
      </c>
      <c r="L8" s="67" t="s">
        <v>3363</v>
      </c>
    </row>
    <row r="9" spans="1:12" ht="15.95" thickBot="1">
      <c r="A9" s="67" t="s">
        <v>5665</v>
      </c>
      <c r="B9" s="67" t="s">
        <v>3364</v>
      </c>
      <c r="C9" s="67" t="s">
        <v>3363</v>
      </c>
      <c r="D9" s="67" t="s">
        <v>5662</v>
      </c>
      <c r="E9" s="67" t="s">
        <v>3362</v>
      </c>
      <c r="F9" s="67" t="s">
        <v>3362</v>
      </c>
      <c r="G9" s="67" t="s">
        <v>5662</v>
      </c>
      <c r="H9" s="67" t="s">
        <v>5662</v>
      </c>
      <c r="I9" s="67" t="s">
        <v>3364</v>
      </c>
      <c r="J9" s="67" t="s">
        <v>5662</v>
      </c>
      <c r="K9" s="67" t="s">
        <v>5662</v>
      </c>
      <c r="L9" s="67" t="s">
        <v>5662</v>
      </c>
    </row>
    <row r="10" spans="1:12" ht="15.95" thickBot="1">
      <c r="A10" s="67" t="s">
        <v>1568</v>
      </c>
      <c r="B10" s="67" t="s">
        <v>3364</v>
      </c>
      <c r="C10" s="67" t="s">
        <v>3363</v>
      </c>
      <c r="D10" s="67" t="s">
        <v>5662</v>
      </c>
      <c r="E10" s="67" t="s">
        <v>3362</v>
      </c>
      <c r="F10" s="67" t="s">
        <v>3362</v>
      </c>
      <c r="G10" s="67" t="s">
        <v>5662</v>
      </c>
      <c r="H10" s="67" t="s">
        <v>5662</v>
      </c>
      <c r="I10" s="67" t="s">
        <v>5662</v>
      </c>
      <c r="J10" s="67" t="s">
        <v>5662</v>
      </c>
      <c r="K10" s="67" t="s">
        <v>5662</v>
      </c>
      <c r="L10" s="67" t="s">
        <v>5662</v>
      </c>
    </row>
    <row r="11" spans="1:12" ht="15.95" thickBot="1">
      <c r="A11" s="67" t="s">
        <v>304</v>
      </c>
      <c r="B11" s="67" t="s">
        <v>3364</v>
      </c>
      <c r="C11" s="67" t="s">
        <v>3363</v>
      </c>
      <c r="D11" s="67" t="s">
        <v>5662</v>
      </c>
      <c r="E11" s="67" t="s">
        <v>3362</v>
      </c>
      <c r="F11" s="67" t="s">
        <v>3362</v>
      </c>
      <c r="G11" s="67" t="s">
        <v>5662</v>
      </c>
      <c r="H11" s="67" t="s">
        <v>5662</v>
      </c>
      <c r="I11" s="67" t="s">
        <v>5662</v>
      </c>
      <c r="J11" s="67" t="s">
        <v>3363</v>
      </c>
      <c r="K11" s="67" t="s">
        <v>3364</v>
      </c>
      <c r="L11" s="67" t="s">
        <v>5662</v>
      </c>
    </row>
    <row r="12" spans="1:12" ht="15.95" thickBot="1">
      <c r="A12" s="67" t="s">
        <v>5666</v>
      </c>
      <c r="B12" s="67" t="s">
        <v>3364</v>
      </c>
      <c r="C12" s="67" t="s">
        <v>3363</v>
      </c>
      <c r="D12" s="67" t="s">
        <v>5662</v>
      </c>
      <c r="E12" s="67" t="s">
        <v>3362</v>
      </c>
      <c r="F12" s="67" t="s">
        <v>3363</v>
      </c>
      <c r="G12" s="67" t="s">
        <v>5662</v>
      </c>
      <c r="H12" s="67" t="s">
        <v>5662</v>
      </c>
      <c r="I12" s="67" t="s">
        <v>5662</v>
      </c>
      <c r="J12" s="67" t="s">
        <v>5662</v>
      </c>
      <c r="K12" s="67" t="s">
        <v>5662</v>
      </c>
      <c r="L12" s="67" t="s">
        <v>5662</v>
      </c>
    </row>
    <row r="13" spans="1:12" ht="15.95" thickBot="1">
      <c r="A13" s="67" t="s">
        <v>5667</v>
      </c>
      <c r="B13" s="67" t="s">
        <v>3364</v>
      </c>
      <c r="C13" s="67" t="s">
        <v>3362</v>
      </c>
      <c r="D13" s="67" t="s">
        <v>3363</v>
      </c>
      <c r="E13" s="67" t="s">
        <v>3363</v>
      </c>
      <c r="F13" s="67" t="s">
        <v>3362</v>
      </c>
      <c r="G13" s="67" t="s">
        <v>5662</v>
      </c>
      <c r="H13" s="67" t="s">
        <v>5662</v>
      </c>
      <c r="I13" s="67" t="s">
        <v>5662</v>
      </c>
      <c r="J13" s="67" t="s">
        <v>5662</v>
      </c>
      <c r="K13" s="67" t="s">
        <v>5662</v>
      </c>
      <c r="L13" s="67" t="s">
        <v>5662</v>
      </c>
    </row>
    <row r="14" spans="1:12" ht="15.95" thickBot="1">
      <c r="A14" s="67" t="s">
        <v>5668</v>
      </c>
      <c r="B14" s="67" t="s">
        <v>5662</v>
      </c>
      <c r="C14" s="67" t="s">
        <v>5669</v>
      </c>
      <c r="D14" s="67" t="s">
        <v>3363</v>
      </c>
      <c r="E14" s="67" t="s">
        <v>3363</v>
      </c>
      <c r="F14" s="67" t="s">
        <v>3362</v>
      </c>
      <c r="G14" s="67" t="s">
        <v>5662</v>
      </c>
      <c r="H14" s="67" t="s">
        <v>5662</v>
      </c>
      <c r="I14" s="67" t="s">
        <v>5662</v>
      </c>
      <c r="J14" s="67" t="s">
        <v>5662</v>
      </c>
      <c r="K14" s="67" t="s">
        <v>5662</v>
      </c>
      <c r="L14" s="67" t="s">
        <v>5662</v>
      </c>
    </row>
    <row r="15" spans="1:12" ht="15.95" thickBot="1">
      <c r="A15" s="67" t="s">
        <v>5670</v>
      </c>
      <c r="B15" s="67" t="s">
        <v>5662</v>
      </c>
      <c r="C15" s="67" t="s">
        <v>3363</v>
      </c>
      <c r="D15" s="67" t="s">
        <v>3363</v>
      </c>
      <c r="E15" s="67" t="s">
        <v>3363</v>
      </c>
      <c r="F15" s="67" t="s">
        <v>3362</v>
      </c>
      <c r="G15" s="67" t="s">
        <v>3364</v>
      </c>
      <c r="H15" s="67" t="s">
        <v>5662</v>
      </c>
      <c r="I15" s="67" t="s">
        <v>5662</v>
      </c>
      <c r="J15" s="67" t="s">
        <v>5662</v>
      </c>
      <c r="K15" s="67" t="s">
        <v>5662</v>
      </c>
      <c r="L15" s="67" t="s">
        <v>5662</v>
      </c>
    </row>
    <row r="16" spans="1:12" ht="15.95" thickBot="1">
      <c r="A16" s="67" t="s">
        <v>4021</v>
      </c>
      <c r="B16" s="67" t="s">
        <v>5662</v>
      </c>
      <c r="C16" s="67" t="s">
        <v>3363</v>
      </c>
      <c r="D16" s="67" t="s">
        <v>3363</v>
      </c>
      <c r="E16" s="67" t="s">
        <v>3363</v>
      </c>
      <c r="F16" s="67" t="s">
        <v>3362</v>
      </c>
      <c r="G16" s="67" t="s">
        <v>3364</v>
      </c>
      <c r="H16" s="67" t="s">
        <v>5662</v>
      </c>
      <c r="I16" s="67" t="s">
        <v>5662</v>
      </c>
      <c r="J16" s="67" t="s">
        <v>5662</v>
      </c>
      <c r="K16" s="67" t="s">
        <v>5662</v>
      </c>
      <c r="L16" s="67" t="s">
        <v>5662</v>
      </c>
    </row>
    <row r="17" spans="1:12" ht="15.95" thickBot="1">
      <c r="A17" s="67" t="s">
        <v>5671</v>
      </c>
      <c r="B17" s="67" t="s">
        <v>3363</v>
      </c>
      <c r="C17" s="67" t="s">
        <v>3364</v>
      </c>
      <c r="D17" s="67" t="s">
        <v>3363</v>
      </c>
      <c r="E17" s="67" t="s">
        <v>3363</v>
      </c>
      <c r="F17" s="67" t="s">
        <v>3362</v>
      </c>
      <c r="G17" s="67" t="s">
        <v>5662</v>
      </c>
      <c r="H17" s="67" t="s">
        <v>5662</v>
      </c>
      <c r="I17" s="67" t="s">
        <v>5662</v>
      </c>
      <c r="J17" s="67" t="s">
        <v>5662</v>
      </c>
      <c r="K17" s="67" t="s">
        <v>5662</v>
      </c>
      <c r="L17" s="67" t="s">
        <v>5662</v>
      </c>
    </row>
    <row r="18" spans="1:12" ht="15.95" thickBot="1">
      <c r="A18" s="67" t="s">
        <v>2229</v>
      </c>
      <c r="B18" s="67" t="s">
        <v>3363</v>
      </c>
      <c r="C18" s="67" t="s">
        <v>5662</v>
      </c>
      <c r="D18" s="67" t="s">
        <v>3364</v>
      </c>
      <c r="E18" s="67" t="s">
        <v>3364</v>
      </c>
      <c r="F18" s="67" t="s">
        <v>3362</v>
      </c>
      <c r="G18" s="67" t="s">
        <v>5662</v>
      </c>
      <c r="H18" s="67" t="s">
        <v>5662</v>
      </c>
      <c r="I18" s="67" t="s">
        <v>3363</v>
      </c>
      <c r="J18" s="67" t="s">
        <v>3363</v>
      </c>
      <c r="K18" s="67" t="s">
        <v>3364</v>
      </c>
      <c r="L18" s="67" t="s">
        <v>5662</v>
      </c>
    </row>
    <row r="19" spans="1:12" ht="15.6">
      <c r="A19" s="243"/>
      <c r="B19" s="255"/>
      <c r="C19" s="255"/>
      <c r="D19" s="255"/>
      <c r="E19" s="255"/>
      <c r="F19" s="255"/>
      <c r="G19" s="255"/>
      <c r="H19" s="57"/>
      <c r="I19" s="57"/>
      <c r="J19" s="57"/>
      <c r="K19" s="57"/>
      <c r="L19" s="57"/>
    </row>
    <row r="20" spans="1:12" ht="15.6">
      <c r="A20" s="256" t="s">
        <v>5672</v>
      </c>
      <c r="B20" s="255"/>
      <c r="C20" s="255"/>
      <c r="D20" s="255"/>
      <c r="E20" s="255"/>
      <c r="F20" s="255"/>
      <c r="G20" s="255"/>
      <c r="H20" s="57"/>
      <c r="I20" s="57"/>
      <c r="J20" s="57"/>
      <c r="K20" s="57"/>
      <c r="L20" s="57"/>
    </row>
    <row r="21" spans="1:12" ht="15.95" thickBot="1">
      <c r="A21" s="243"/>
      <c r="B21" s="255"/>
      <c r="C21" s="255"/>
      <c r="D21" s="255"/>
      <c r="E21" s="255"/>
      <c r="F21" s="255"/>
      <c r="G21" s="255"/>
      <c r="H21" s="57"/>
      <c r="I21" s="57"/>
      <c r="J21" s="57"/>
      <c r="K21" s="57"/>
      <c r="L21" s="57"/>
    </row>
    <row r="22" spans="1:12" ht="31.5" thickBot="1">
      <c r="A22" s="66" t="s">
        <v>5673</v>
      </c>
      <c r="B22" s="66" t="s">
        <v>5674</v>
      </c>
      <c r="C22" s="255"/>
      <c r="D22" s="255"/>
      <c r="E22" s="255"/>
      <c r="F22" s="255"/>
      <c r="G22" s="255"/>
      <c r="H22" s="57"/>
      <c r="I22" s="57"/>
      <c r="J22" s="57"/>
      <c r="K22" s="57"/>
      <c r="L22" s="57"/>
    </row>
    <row r="23" spans="1:12" ht="31.5" thickBot="1">
      <c r="A23" s="67" t="s">
        <v>3364</v>
      </c>
      <c r="B23" s="67" t="s">
        <v>5675</v>
      </c>
      <c r="C23" s="255"/>
      <c r="D23" s="255"/>
      <c r="E23" s="255"/>
      <c r="F23" s="255"/>
      <c r="G23" s="255"/>
      <c r="H23" s="57"/>
      <c r="I23" s="57"/>
      <c r="J23" s="57"/>
      <c r="K23" s="57"/>
      <c r="L23" s="57"/>
    </row>
    <row r="24" spans="1:12" ht="31.5" thickBot="1">
      <c r="A24" s="67" t="s">
        <v>3362</v>
      </c>
      <c r="B24" s="67" t="s">
        <v>5676</v>
      </c>
      <c r="C24" s="255"/>
      <c r="D24" s="255"/>
      <c r="E24" s="255"/>
      <c r="F24" s="255"/>
      <c r="G24" s="255"/>
      <c r="H24" s="57"/>
      <c r="I24" s="57"/>
      <c r="J24" s="57"/>
      <c r="K24" s="57"/>
      <c r="L24" s="57"/>
    </row>
    <row r="25" spans="1:12" ht="31.5" thickBot="1">
      <c r="A25" s="67" t="s">
        <v>3363</v>
      </c>
      <c r="B25" s="67" t="s">
        <v>5677</v>
      </c>
      <c r="C25" s="255"/>
      <c r="D25" s="255"/>
      <c r="E25" s="255"/>
      <c r="F25" s="255"/>
      <c r="G25" s="255"/>
      <c r="H25" s="57"/>
      <c r="I25" s="57"/>
      <c r="J25" s="57"/>
      <c r="K25" s="57"/>
      <c r="L25" s="57"/>
    </row>
    <row r="26" spans="1:12" ht="31.5" thickBot="1">
      <c r="A26" s="67" t="s">
        <v>5662</v>
      </c>
      <c r="B26" s="67" t="s">
        <v>5678</v>
      </c>
      <c r="C26" s="255"/>
      <c r="D26" s="255"/>
      <c r="E26" s="255"/>
      <c r="F26" s="255"/>
      <c r="G26" s="255"/>
      <c r="H26" s="57"/>
      <c r="I26" s="57"/>
      <c r="J26" s="57"/>
      <c r="K26" s="57"/>
      <c r="L26" s="57"/>
    </row>
    <row r="27" spans="1:12">
      <c r="A27" s="57"/>
      <c r="B27" s="57"/>
      <c r="C27" s="57"/>
      <c r="D27" s="57"/>
      <c r="E27" s="57"/>
      <c r="F27" s="57"/>
      <c r="G27" s="57"/>
      <c r="H27" s="57"/>
      <c r="I27" s="57"/>
      <c r="J27" s="57"/>
      <c r="K27" s="57"/>
      <c r="L27" s="57"/>
    </row>
    <row r="28" spans="1:12">
      <c r="A28" s="328" t="s">
        <v>5679</v>
      </c>
      <c r="B28" s="328"/>
      <c r="C28" s="328"/>
      <c r="D28" s="328"/>
      <c r="E28" s="328"/>
      <c r="F28" s="328"/>
      <c r="G28" s="328"/>
      <c r="H28" s="328"/>
      <c r="I28" s="328"/>
      <c r="J28" s="328"/>
      <c r="K28" s="328"/>
      <c r="L28" s="328"/>
    </row>
  </sheetData>
  <mergeCells count="1">
    <mergeCell ref="A28:L28"/>
  </mergeCells>
  <pageMargins left="0.7" right="0.7" top="0.75" bottom="0.75" header="0.3" footer="0.3"/>
  <headerFooter>
    <oddFooter>&amp;L_x000D_&amp;1#&amp;"Aptos"&amp;10&amp;K000000 Confidential-Internal</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F32E5-3959-4858-8E9A-00B18186E73C}">
  <dimension ref="B1:I64"/>
  <sheetViews>
    <sheetView zoomScale="90" zoomScaleNormal="90" workbookViewId="0">
      <selection activeCell="B4" sqref="B4"/>
    </sheetView>
  </sheetViews>
  <sheetFormatPr defaultColWidth="8.7109375" defaultRowHeight="15.6"/>
  <cols>
    <col min="1" max="1" width="8.7109375" style="2"/>
    <col min="2" max="2" width="32.5703125" style="48" customWidth="1"/>
    <col min="3" max="3" width="37.5703125" style="48" customWidth="1"/>
    <col min="4" max="4" width="37.42578125" style="48" customWidth="1"/>
    <col min="5" max="5" width="36.5703125" style="48" customWidth="1"/>
    <col min="6" max="6" width="41.5703125" style="48" customWidth="1"/>
    <col min="7" max="7" width="26.140625" style="48" customWidth="1"/>
    <col min="8" max="8" width="26.28515625" style="48" customWidth="1"/>
    <col min="9" max="16384" width="8.7109375" style="2"/>
  </cols>
  <sheetData>
    <row r="1" spans="2:9" ht="30.95">
      <c r="B1" s="47" t="s">
        <v>5680</v>
      </c>
      <c r="I1" s="48"/>
    </row>
    <row r="2" spans="2:9">
      <c r="B2" s="49"/>
      <c r="I2" s="48"/>
    </row>
    <row r="3" spans="2:9" ht="62.1">
      <c r="C3" s="50" t="s">
        <v>5681</v>
      </c>
      <c r="D3" s="50" t="s">
        <v>5682</v>
      </c>
      <c r="E3" s="50" t="s">
        <v>5683</v>
      </c>
      <c r="F3" s="50" t="s">
        <v>5684</v>
      </c>
      <c r="G3" s="50" t="s">
        <v>5685</v>
      </c>
      <c r="H3" s="50" t="s">
        <v>5686</v>
      </c>
      <c r="I3" s="50" t="s">
        <v>5687</v>
      </c>
    </row>
    <row r="4" spans="2:9" ht="216.95">
      <c r="C4" s="52" t="s">
        <v>5688</v>
      </c>
      <c r="D4" s="51" t="s">
        <v>5689</v>
      </c>
      <c r="E4" s="51" t="s">
        <v>5690</v>
      </c>
      <c r="F4" s="51" t="s">
        <v>440</v>
      </c>
      <c r="G4" s="51" t="s">
        <v>5691</v>
      </c>
      <c r="H4" s="51" t="s">
        <v>5692</v>
      </c>
      <c r="I4" s="51" t="s">
        <v>5693</v>
      </c>
    </row>
    <row r="5" spans="2:9" ht="170.45">
      <c r="C5" s="52" t="s">
        <v>5694</v>
      </c>
      <c r="D5" s="51" t="s">
        <v>5695</v>
      </c>
      <c r="E5" s="51" t="s">
        <v>5696</v>
      </c>
      <c r="F5" s="51" t="s">
        <v>446</v>
      </c>
      <c r="G5" s="51" t="s">
        <v>5697</v>
      </c>
      <c r="H5" s="51" t="s">
        <v>5698</v>
      </c>
      <c r="I5" s="51" t="s">
        <v>5699</v>
      </c>
    </row>
    <row r="6" spans="2:9" ht="123.95">
      <c r="C6" s="52" t="s">
        <v>5700</v>
      </c>
      <c r="D6" s="51" t="s">
        <v>5701</v>
      </c>
      <c r="E6" s="51" t="s">
        <v>5702</v>
      </c>
      <c r="F6" s="51" t="s">
        <v>4717</v>
      </c>
      <c r="G6" s="51" t="s">
        <v>5703</v>
      </c>
      <c r="H6" s="51" t="s">
        <v>5704</v>
      </c>
      <c r="I6" s="51" t="s">
        <v>5705</v>
      </c>
    </row>
    <row r="7" spans="2:9" ht="155.1">
      <c r="C7" s="52" t="s">
        <v>5706</v>
      </c>
      <c r="D7" s="51" t="s">
        <v>5707</v>
      </c>
      <c r="E7" s="51" t="s">
        <v>5708</v>
      </c>
      <c r="F7" s="51" t="s">
        <v>455</v>
      </c>
      <c r="G7" s="51" t="s">
        <v>5709</v>
      </c>
      <c r="H7" s="51" t="s">
        <v>5710</v>
      </c>
      <c r="I7" s="51" t="s">
        <v>5711</v>
      </c>
    </row>
    <row r="8" spans="2:9" ht="155.1">
      <c r="C8" s="52" t="s">
        <v>5712</v>
      </c>
      <c r="D8" s="51" t="s">
        <v>5713</v>
      </c>
      <c r="E8" s="51" t="s">
        <v>5714</v>
      </c>
      <c r="F8" s="51" t="s">
        <v>5715</v>
      </c>
      <c r="G8" s="51" t="s">
        <v>5716</v>
      </c>
      <c r="H8" s="51" t="s">
        <v>5717</v>
      </c>
      <c r="I8" s="51" t="s">
        <v>5718</v>
      </c>
    </row>
    <row r="9" spans="2:9" ht="123.95">
      <c r="C9" s="52" t="s">
        <v>5719</v>
      </c>
      <c r="D9" s="51" t="s">
        <v>5720</v>
      </c>
      <c r="E9" s="51" t="s">
        <v>5721</v>
      </c>
      <c r="F9" s="51" t="s">
        <v>468</v>
      </c>
      <c r="G9" s="51" t="s">
        <v>5722</v>
      </c>
      <c r="H9" s="51" t="s">
        <v>5723</v>
      </c>
      <c r="I9" s="51" t="s">
        <v>5724</v>
      </c>
    </row>
    <row r="10" spans="2:9" ht="123.95">
      <c r="C10" s="52" t="s">
        <v>5725</v>
      </c>
      <c r="D10" s="51" t="s">
        <v>5726</v>
      </c>
      <c r="E10" s="51" t="s">
        <v>5727</v>
      </c>
      <c r="F10" s="51" t="s">
        <v>475</v>
      </c>
      <c r="G10" s="51" t="s">
        <v>5728</v>
      </c>
      <c r="H10" s="51" t="s">
        <v>5729</v>
      </c>
      <c r="I10" s="51" t="s">
        <v>5730</v>
      </c>
    </row>
    <row r="11" spans="2:9" ht="123.95">
      <c r="C11" s="52" t="s">
        <v>5731</v>
      </c>
      <c r="D11" s="51" t="s">
        <v>5732</v>
      </c>
      <c r="E11" s="51" t="s">
        <v>5733</v>
      </c>
      <c r="F11" s="51" t="s">
        <v>480</v>
      </c>
      <c r="G11" s="51" t="s">
        <v>5734</v>
      </c>
      <c r="H11" s="51" t="s">
        <v>5735</v>
      </c>
      <c r="I11" s="51" t="s">
        <v>5736</v>
      </c>
    </row>
    <row r="12" spans="2:9" ht="139.5">
      <c r="C12" s="52" t="s">
        <v>5737</v>
      </c>
      <c r="D12" s="51" t="s">
        <v>5738</v>
      </c>
      <c r="E12" s="51" t="s">
        <v>5739</v>
      </c>
      <c r="F12" s="51" t="s">
        <v>483</v>
      </c>
      <c r="G12" s="51" t="s">
        <v>5740</v>
      </c>
      <c r="H12" s="51" t="s">
        <v>5741</v>
      </c>
      <c r="I12" s="51" t="s">
        <v>5742</v>
      </c>
    </row>
    <row r="13" spans="2:9" ht="93">
      <c r="C13" s="52" t="s">
        <v>5743</v>
      </c>
      <c r="D13" s="51" t="s">
        <v>5744</v>
      </c>
      <c r="E13" s="51" t="s">
        <v>5745</v>
      </c>
      <c r="F13" s="51" t="s">
        <v>485</v>
      </c>
      <c r="G13" s="51" t="s">
        <v>5746</v>
      </c>
      <c r="H13" s="51" t="s">
        <v>5747</v>
      </c>
      <c r="I13" s="51" t="s">
        <v>5748</v>
      </c>
    </row>
    <row r="14" spans="2:9" ht="123.95">
      <c r="C14" s="52" t="s">
        <v>5749</v>
      </c>
      <c r="D14" s="51" t="s">
        <v>5750</v>
      </c>
      <c r="E14" s="51" t="s">
        <v>1441</v>
      </c>
      <c r="F14" s="51" t="s">
        <v>489</v>
      </c>
      <c r="G14" s="51" t="s">
        <v>5751</v>
      </c>
      <c r="H14" s="51" t="s">
        <v>5752</v>
      </c>
      <c r="I14" s="51" t="s">
        <v>5753</v>
      </c>
    </row>
    <row r="15" spans="2:9" ht="155.1">
      <c r="C15" s="52" t="s">
        <v>5754</v>
      </c>
      <c r="D15" s="51" t="s">
        <v>5755</v>
      </c>
      <c r="E15" s="51" t="s">
        <v>5756</v>
      </c>
      <c r="F15" s="51" t="s">
        <v>495</v>
      </c>
      <c r="G15" s="51" t="s">
        <v>5757</v>
      </c>
      <c r="H15" s="51" t="s">
        <v>5758</v>
      </c>
      <c r="I15" s="51" t="s">
        <v>5759</v>
      </c>
    </row>
    <row r="16" spans="2:9" ht="62.1">
      <c r="C16" s="52" t="s">
        <v>5760</v>
      </c>
      <c r="D16" s="51" t="s">
        <v>5750</v>
      </c>
      <c r="E16" s="51" t="s">
        <v>5761</v>
      </c>
      <c r="F16" s="51" t="s">
        <v>514</v>
      </c>
      <c r="G16" s="51" t="s">
        <v>5762</v>
      </c>
      <c r="H16" s="51" t="s">
        <v>5763</v>
      </c>
      <c r="I16" s="51" t="s">
        <v>5764</v>
      </c>
    </row>
    <row r="17" spans="2:9" ht="139.5">
      <c r="C17" s="52" t="s">
        <v>5765</v>
      </c>
      <c r="D17" s="51" t="s">
        <v>5766</v>
      </c>
      <c r="E17" s="51" t="s">
        <v>5767</v>
      </c>
      <c r="F17" s="51" t="s">
        <v>5768</v>
      </c>
      <c r="G17" s="51" t="s">
        <v>5769</v>
      </c>
      <c r="H17" s="51" t="s">
        <v>5770</v>
      </c>
      <c r="I17" s="51" t="s">
        <v>5771</v>
      </c>
    </row>
    <row r="18" spans="2:9" ht="93">
      <c r="C18" s="52" t="s">
        <v>5772</v>
      </c>
      <c r="D18" s="51" t="s">
        <v>5773</v>
      </c>
      <c r="E18" s="51" t="s">
        <v>5774</v>
      </c>
      <c r="F18" s="51" t="s">
        <v>5775</v>
      </c>
      <c r="G18" s="51" t="s">
        <v>5776</v>
      </c>
      <c r="H18" s="51" t="s">
        <v>5777</v>
      </c>
      <c r="I18" s="51" t="s">
        <v>5778</v>
      </c>
    </row>
    <row r="19" spans="2:9" ht="123.95">
      <c r="C19" s="52" t="s">
        <v>5779</v>
      </c>
      <c r="D19" s="51" t="s">
        <v>5780</v>
      </c>
      <c r="E19" s="51" t="s">
        <v>5781</v>
      </c>
      <c r="F19" s="51" t="s">
        <v>528</v>
      </c>
      <c r="G19" s="51" t="s">
        <v>5782</v>
      </c>
      <c r="H19" s="51" t="s">
        <v>5783</v>
      </c>
      <c r="I19" s="51" t="s">
        <v>5784</v>
      </c>
    </row>
    <row r="20" spans="2:9" ht="108.6">
      <c r="C20" s="52" t="s">
        <v>5785</v>
      </c>
      <c r="D20" s="51" t="s">
        <v>5786</v>
      </c>
      <c r="E20" s="51" t="s">
        <v>5787</v>
      </c>
      <c r="F20" s="51" t="s">
        <v>530</v>
      </c>
      <c r="G20" s="51" t="s">
        <v>5788</v>
      </c>
      <c r="H20" s="51" t="s">
        <v>5789</v>
      </c>
      <c r="I20" s="51" t="s">
        <v>5790</v>
      </c>
    </row>
    <row r="21" spans="2:9" ht="93">
      <c r="C21" s="52" t="s">
        <v>5791</v>
      </c>
      <c r="D21" s="51" t="s">
        <v>5792</v>
      </c>
      <c r="E21" s="51" t="s">
        <v>5793</v>
      </c>
      <c r="F21" s="51" t="s">
        <v>501</v>
      </c>
      <c r="G21" s="51" t="s">
        <v>5794</v>
      </c>
      <c r="H21" s="51" t="s">
        <v>5795</v>
      </c>
      <c r="I21" s="51" t="s">
        <v>5796</v>
      </c>
    </row>
    <row r="22" spans="2:9" ht="108.6">
      <c r="C22" s="52" t="s">
        <v>5797</v>
      </c>
      <c r="D22" s="51" t="s">
        <v>5798</v>
      </c>
      <c r="E22" s="51" t="s">
        <v>5799</v>
      </c>
      <c r="F22" s="51" t="s">
        <v>505</v>
      </c>
      <c r="G22" s="51" t="s">
        <v>5800</v>
      </c>
      <c r="H22" s="51" t="s">
        <v>5801</v>
      </c>
      <c r="I22" s="51" t="s">
        <v>5802</v>
      </c>
    </row>
    <row r="23" spans="2:9" ht="46.5">
      <c r="C23" s="52" t="s">
        <v>5803</v>
      </c>
      <c r="D23" s="51" t="s">
        <v>5804</v>
      </c>
      <c r="E23" s="51" t="s">
        <v>5805</v>
      </c>
      <c r="F23" s="51" t="s">
        <v>509</v>
      </c>
      <c r="G23" s="51" t="s">
        <v>5806</v>
      </c>
      <c r="H23" s="51" t="s">
        <v>5807</v>
      </c>
    </row>
    <row r="24" spans="2:9" ht="30.95">
      <c r="C24" s="52" t="s">
        <v>5808</v>
      </c>
      <c r="D24" s="51" t="s">
        <v>5809</v>
      </c>
      <c r="E24" s="51" t="s">
        <v>5810</v>
      </c>
      <c r="F24" s="51" t="s">
        <v>512</v>
      </c>
      <c r="G24" s="51" t="s">
        <v>5811</v>
      </c>
      <c r="H24" s="51" t="s">
        <v>5812</v>
      </c>
    </row>
    <row r="25" spans="2:9">
      <c r="B25" s="49"/>
    </row>
    <row r="26" spans="2:9" ht="30.95">
      <c r="B26" s="47" t="s">
        <v>5813</v>
      </c>
    </row>
    <row r="27" spans="2:9">
      <c r="B27" s="49"/>
    </row>
    <row r="28" spans="2:9" ht="30.95">
      <c r="B28" s="49" t="s">
        <v>5814</v>
      </c>
    </row>
    <row r="29" spans="2:9" ht="15.95" thickBot="1">
      <c r="B29" s="49"/>
    </row>
    <row r="30" spans="2:9" ht="15.95" thickBot="1">
      <c r="B30" s="53" t="s">
        <v>5815</v>
      </c>
      <c r="C30" s="53" t="s">
        <v>5816</v>
      </c>
      <c r="D30" s="53" t="s">
        <v>5817</v>
      </c>
    </row>
    <row r="31" spans="2:9" ht="15.95" thickBot="1">
      <c r="B31" s="54" t="s">
        <v>5818</v>
      </c>
      <c r="C31" s="54" t="s">
        <v>5819</v>
      </c>
      <c r="D31" s="54" t="s">
        <v>5094</v>
      </c>
    </row>
    <row r="32" spans="2:9" ht="15.95" thickBot="1">
      <c r="B32" s="54" t="s">
        <v>2354</v>
      </c>
      <c r="C32" s="54" t="s">
        <v>5820</v>
      </c>
      <c r="D32" s="54" t="s">
        <v>5821</v>
      </c>
    </row>
    <row r="33" spans="2:4" ht="15.95" thickBot="1">
      <c r="B33" s="54" t="s">
        <v>2350</v>
      </c>
      <c r="C33" s="54" t="s">
        <v>5822</v>
      </c>
      <c r="D33" s="54" t="s">
        <v>2321</v>
      </c>
    </row>
    <row r="34" spans="2:4" ht="31.5" thickBot="1">
      <c r="B34" s="54" t="s">
        <v>1488</v>
      </c>
      <c r="C34" s="54" t="s">
        <v>5823</v>
      </c>
      <c r="D34" s="54" t="s">
        <v>5072</v>
      </c>
    </row>
    <row r="35" spans="2:4" ht="31.5" thickBot="1">
      <c r="B35" s="54" t="s">
        <v>5824</v>
      </c>
      <c r="C35" s="54" t="s">
        <v>5825</v>
      </c>
      <c r="D35" s="54" t="s">
        <v>5826</v>
      </c>
    </row>
    <row r="36" spans="2:4" ht="15.95" thickBot="1">
      <c r="B36" s="54" t="s">
        <v>5827</v>
      </c>
      <c r="C36" s="54" t="s">
        <v>5828</v>
      </c>
      <c r="D36" s="54" t="s">
        <v>5829</v>
      </c>
    </row>
    <row r="37" spans="2:4" ht="31.5" thickBot="1">
      <c r="B37" s="54" t="s">
        <v>5830</v>
      </c>
      <c r="C37" s="54" t="s">
        <v>5831</v>
      </c>
      <c r="D37" s="54" t="s">
        <v>5832</v>
      </c>
    </row>
    <row r="38" spans="2:4" ht="15.95" thickBot="1">
      <c r="B38" s="54" t="s">
        <v>5833</v>
      </c>
      <c r="C38" s="54" t="s">
        <v>5834</v>
      </c>
      <c r="D38" s="54" t="s">
        <v>2311</v>
      </c>
    </row>
    <row r="39" spans="2:4" ht="31.5" thickBot="1">
      <c r="B39" s="54" t="s">
        <v>5835</v>
      </c>
      <c r="C39" s="54" t="s">
        <v>5836</v>
      </c>
      <c r="D39" s="54" t="s">
        <v>5837</v>
      </c>
    </row>
    <row r="40" spans="2:4" ht="15.95" thickBot="1">
      <c r="B40" s="54" t="s">
        <v>5838</v>
      </c>
      <c r="C40" s="54" t="s">
        <v>5839</v>
      </c>
      <c r="D40" s="54" t="s">
        <v>3343</v>
      </c>
    </row>
    <row r="41" spans="2:4">
      <c r="B41" s="49"/>
    </row>
    <row r="42" spans="2:4" ht="30.95">
      <c r="B42" s="55" t="s">
        <v>5840</v>
      </c>
      <c r="C42" s="56"/>
    </row>
    <row r="43" spans="2:4">
      <c r="B43" s="49"/>
    </row>
    <row r="44" spans="2:4" ht="46.5">
      <c r="B44" s="49" t="s">
        <v>5841</v>
      </c>
    </row>
    <row r="45" spans="2:4" ht="15.95" thickBot="1">
      <c r="B45" s="49"/>
    </row>
    <row r="46" spans="2:4" ht="15.95" thickBot="1">
      <c r="B46" s="53" t="s">
        <v>5842</v>
      </c>
      <c r="C46" s="53" t="s">
        <v>5843</v>
      </c>
    </row>
    <row r="47" spans="2:4" ht="15.95" thickBot="1">
      <c r="B47" s="54" t="s">
        <v>5844</v>
      </c>
      <c r="C47" s="54" t="s">
        <v>5845</v>
      </c>
    </row>
    <row r="48" spans="2:4" ht="31.5" thickBot="1">
      <c r="B48" s="54" t="s">
        <v>5846</v>
      </c>
      <c r="C48" s="54" t="s">
        <v>5847</v>
      </c>
    </row>
    <row r="49" spans="2:8" ht="31.5" thickBot="1">
      <c r="B49" s="54" t="s">
        <v>5848</v>
      </c>
      <c r="C49" s="54" t="s">
        <v>5849</v>
      </c>
    </row>
    <row r="50" spans="2:8" ht="31.5" thickBot="1">
      <c r="B50" s="54" t="s">
        <v>5850</v>
      </c>
      <c r="C50" s="54" t="s">
        <v>5851</v>
      </c>
    </row>
    <row r="51" spans="2:8" ht="31.5" thickBot="1">
      <c r="B51" s="54" t="s">
        <v>1733</v>
      </c>
      <c r="C51" s="54" t="s">
        <v>5852</v>
      </c>
    </row>
    <row r="52" spans="2:8">
      <c r="B52" s="49"/>
    </row>
    <row r="53" spans="2:8">
      <c r="B53" s="44" t="s">
        <v>5853</v>
      </c>
      <c r="C53" s="2"/>
      <c r="D53" s="2"/>
      <c r="E53" s="2"/>
      <c r="F53" s="2"/>
      <c r="G53" s="2"/>
      <c r="H53" s="2"/>
    </row>
    <row r="54" spans="2:8">
      <c r="B54" s="49"/>
    </row>
    <row r="55" spans="2:8">
      <c r="B55" s="1" t="s">
        <v>5854</v>
      </c>
      <c r="C55" s="2"/>
      <c r="D55" s="2"/>
      <c r="E55" s="2"/>
      <c r="F55" s="2"/>
      <c r="G55" s="2"/>
      <c r="H55" s="2"/>
    </row>
    <row r="57" spans="2:8">
      <c r="B57" s="328" t="s">
        <v>5855</v>
      </c>
      <c r="C57" s="328"/>
      <c r="D57" s="328"/>
      <c r="E57" s="328"/>
      <c r="F57" s="328"/>
      <c r="G57" s="328"/>
      <c r="H57" s="328"/>
    </row>
    <row r="59" spans="2:8">
      <c r="B59" s="48" t="s">
        <v>5633</v>
      </c>
      <c r="C59" s="48" t="s">
        <v>5681</v>
      </c>
      <c r="D59" s="48" t="s">
        <v>5682</v>
      </c>
      <c r="E59" s="48" t="s">
        <v>5683</v>
      </c>
      <c r="F59" s="48" t="s">
        <v>5685</v>
      </c>
      <c r="G59" s="48" t="s">
        <v>5686</v>
      </c>
      <c r="H59" s="48" t="s">
        <v>5687</v>
      </c>
    </row>
    <row r="60" spans="2:8" ht="62.1">
      <c r="B60" s="48" t="s">
        <v>1336</v>
      </c>
      <c r="C60" s="48" t="s">
        <v>5856</v>
      </c>
      <c r="D60" s="48" t="s">
        <v>5857</v>
      </c>
      <c r="E60" s="48" t="s">
        <v>1757</v>
      </c>
      <c r="F60" s="48" t="s">
        <v>1758</v>
      </c>
      <c r="G60" s="48" t="s">
        <v>5858</v>
      </c>
      <c r="H60" s="48" t="s">
        <v>5859</v>
      </c>
    </row>
    <row r="61" spans="2:8" ht="46.5">
      <c r="B61" s="48" t="s">
        <v>1343</v>
      </c>
      <c r="C61" s="48" t="s">
        <v>5860</v>
      </c>
      <c r="D61" s="48" t="s">
        <v>5861</v>
      </c>
      <c r="E61" s="48" t="s">
        <v>1799</v>
      </c>
      <c r="F61" s="48" t="s">
        <v>1800</v>
      </c>
      <c r="G61" s="48" t="s">
        <v>5862</v>
      </c>
      <c r="H61" s="48" t="s">
        <v>5863</v>
      </c>
    </row>
    <row r="62" spans="2:8" ht="62.1">
      <c r="B62" s="48" t="s">
        <v>1350</v>
      </c>
      <c r="C62" s="48" t="s">
        <v>5864</v>
      </c>
      <c r="D62" s="48" t="s">
        <v>5865</v>
      </c>
      <c r="E62" s="48" t="s">
        <v>1853</v>
      </c>
      <c r="F62" s="48" t="s">
        <v>1854</v>
      </c>
      <c r="G62" s="48" t="s">
        <v>5866</v>
      </c>
      <c r="H62" s="48" t="s">
        <v>5867</v>
      </c>
    </row>
    <row r="63" spans="2:8" ht="62.1">
      <c r="B63" s="48" t="s">
        <v>1357</v>
      </c>
      <c r="C63" s="48" t="s">
        <v>5868</v>
      </c>
      <c r="D63" s="48" t="s">
        <v>5869</v>
      </c>
      <c r="E63" s="48" t="s">
        <v>1899</v>
      </c>
      <c r="F63" s="48" t="s">
        <v>1900</v>
      </c>
      <c r="G63" s="48" t="s">
        <v>5870</v>
      </c>
      <c r="H63" s="48" t="s">
        <v>5871</v>
      </c>
    </row>
    <row r="64" spans="2:8" ht="62.1">
      <c r="B64" s="48" t="s">
        <v>1364</v>
      </c>
      <c r="C64" s="48" t="s">
        <v>5872</v>
      </c>
      <c r="D64" s="48" t="s">
        <v>5873</v>
      </c>
      <c r="E64" s="48" t="s">
        <v>1952</v>
      </c>
      <c r="F64" s="48" t="s">
        <v>1953</v>
      </c>
      <c r="G64" s="48" t="s">
        <v>5874</v>
      </c>
      <c r="H64" s="48" t="s">
        <v>5875</v>
      </c>
    </row>
  </sheetData>
  <mergeCells count="1">
    <mergeCell ref="B57:H57"/>
  </mergeCells>
  <hyperlinks>
    <hyperlink ref="C4" r:id="rId1" display="https://wipro365-my.sharepoint.com/personal/su20278582_wipro_com/Documents/Microsoft Copilot Chat Files/MEntor-Wipro Work Order Final - signed.pdf" xr:uid="{49E29525-FA03-4C13-A6AB-21BB1798C414}"/>
    <hyperlink ref="C5" r:id="rId2" display="https://wipro365-my.sharepoint.com/personal/su20278582_wipro_com/Documents/Microsoft Copilot Chat Files/MEntor-Wipro Work Order Final - signed.pdf" xr:uid="{E9F23D09-5504-48BE-ACBB-849E08B31254}"/>
    <hyperlink ref="C6" r:id="rId3" display="https://wipro365-my.sharepoint.com/personal/su20278582_wipro_com/Documents/Microsoft Copilot Chat Files/MEntor-Wipro Work Order Final - signed.pdf" xr:uid="{36AC478F-5429-4899-A39F-AEC6CC7CBB51}"/>
    <hyperlink ref="C7" r:id="rId4" display="https://wipro365-my.sharepoint.com/personal/su20278582_wipro_com/Documents/Microsoft Copilot Chat Files/MEntor-Wipro Work Order Final - signed.pdf" xr:uid="{EE068CE3-9BBE-444D-B040-0BFFB143EB79}"/>
    <hyperlink ref="C8" r:id="rId5" display="https://wipro365-my.sharepoint.com/personal/su20278582_wipro_com/Documents/Microsoft Copilot Chat Files/MEntor-Wipro Work Order Final - signed.pdf" xr:uid="{79B02ECD-EA35-4DE6-ACCC-4CDB5E3AB576}"/>
    <hyperlink ref="C9" r:id="rId6" display="https://wipro365-my.sharepoint.com/personal/su20278582_wipro_com/Documents/Microsoft Copilot Chat Files/MEntor-Wipro Work Order Final - signed.pdf" xr:uid="{7208017E-6EE5-4FFF-A700-758BD3804FEE}"/>
    <hyperlink ref="C10" r:id="rId7" display="https://wipro365-my.sharepoint.com/personal/su20278582_wipro_com/Documents/Microsoft Copilot Chat Files/MEntor-Wipro Work Order Final - signed.pdf" xr:uid="{F02854A7-D7EC-48B9-A29E-77865AB0EC93}"/>
    <hyperlink ref="C11" r:id="rId8" display="https://wipro365-my.sharepoint.com/personal/su20278582_wipro_com/Documents/Microsoft Copilot Chat Files/MEntor-Wipro Work Order Final - signed.pdf" xr:uid="{1AA45B71-E0E0-4CCA-A869-442C291940F6}"/>
    <hyperlink ref="C12" r:id="rId9" display="https://wipro365-my.sharepoint.com/personal/su20278582_wipro_com/Documents/Microsoft Copilot Chat Files/MEntor-Wipro Work Order Final - signed.pdf" xr:uid="{1DC4EDE7-51CE-4CDF-8E1F-4DFB74D6F3E4}"/>
    <hyperlink ref="C13" r:id="rId10" display="https://wipro365-my.sharepoint.com/personal/su20278582_wipro_com/Documents/Microsoft Copilot Chat Files/MEntor-Wipro Work Order Final - signed.pdf" xr:uid="{9EE96D7F-41B8-4143-B6D0-F69D01BFB54F}"/>
    <hyperlink ref="C14" r:id="rId11" display="https://wipro365-my.sharepoint.com/personal/su20278582_wipro_com/Documents/Microsoft Copilot Chat Files/MEntor-Wipro Work Order Final - signed.pdf" xr:uid="{9AB6FC83-F97A-4E9E-B4B5-BB4E2DD61909}"/>
    <hyperlink ref="C15" r:id="rId12" display="https://wipro365-my.sharepoint.com/personal/su20278582_wipro_com/Documents/Microsoft Copilot Chat Files/MEntor-Wipro Work Order Final - signed.pdf" xr:uid="{AA80CFC2-1211-4FBA-977F-52784FE4BA44}"/>
    <hyperlink ref="C16" r:id="rId13" display="https://wipro365-my.sharepoint.com/personal/su20278582_wipro_com/Documents/Microsoft Copilot Chat Files/MEntor-Wipro Work Order Final - signed.pdf" xr:uid="{33CEF74E-7C4F-41BF-B919-865B5941E4D1}"/>
    <hyperlink ref="C17" r:id="rId14" display="https://wipro365-my.sharepoint.com/personal/su20278582_wipro_com/Documents/Microsoft Copilot Chat Files/MEntor-Wipro Work Order Final - signed.pdf" xr:uid="{A1DD4A84-5448-4CB6-AD46-182F8CC352AC}"/>
    <hyperlink ref="C18" r:id="rId15" display="https://wipro365-my.sharepoint.com/personal/su20278582_wipro_com/Documents/Microsoft Copilot Chat Files/MEntor-Wipro Work Order Final - signed.pdf" xr:uid="{E0EC0DF6-CBA6-4B82-AAF9-85959966B8A7}"/>
    <hyperlink ref="C19" r:id="rId16" display="https://wipro365-my.sharepoint.com/personal/su20278582_wipro_com/Documents/Microsoft Copilot Chat Files/MEntor-Wipro Work Order Final - signed.pdf" xr:uid="{33B4A234-AEA9-4886-BDCE-427BD21A19DC}"/>
    <hyperlink ref="C20" r:id="rId17" display="https://wipro365-my.sharepoint.com/personal/su20278582_wipro_com/Documents/Microsoft Copilot Chat Files/MEntor-Wipro Work Order Final - signed.pdf" xr:uid="{D4020F82-3D80-448F-8392-0C162DD9B770}"/>
    <hyperlink ref="C21" r:id="rId18" display="https://wipro365-my.sharepoint.com/personal/su20278582_wipro_com/Documents/Microsoft Copilot Chat Files/MEntor-Wipro Work Order Final - signed.pdf" xr:uid="{5D0398E8-1E9C-416A-942B-5DBCAF259327}"/>
    <hyperlink ref="C22" r:id="rId19" display="https://wipro365-my.sharepoint.com/personal/su20278582_wipro_com/Documents/Microsoft Copilot Chat Files/MEntor-Wipro Work Order Final - signed.pdf" xr:uid="{5D6B00EF-2308-4631-83CA-D0905C8CAEC5}"/>
    <hyperlink ref="C23" r:id="rId20" display="https://wipro365-my.sharepoint.com/personal/su20278582_wipro_com/Documents/Microsoft Copilot Chat Files/MEntor-Wipro Work Order Final - signed.pdf" xr:uid="{5995424B-AF4E-46E6-A10D-50C3CF20EC20}"/>
    <hyperlink ref="C24" r:id="rId21" display="https://wipro365-my.sharepoint.com/personal/su20278582_wipro_com/Documents/Microsoft Copilot Chat Files/MEntor-Wipro Work Order Final - signed.pdf" xr:uid="{1C7E0491-762E-424E-BB2C-7CEE550AD668}"/>
    <hyperlink ref="B53" r:id="rId22" display="https://wipro365-my.sharepoint.com/personal/su20278582_wipro_com/Documents/Microsoft Copilot Chat Files/MEntor-Wipro Work Order Final - signed.pdf" xr:uid="{24262552-9338-4B98-9E9D-BCDD775F7A2F}"/>
  </hyperlinks>
  <pageMargins left="0.7" right="0.7" top="0.75" bottom="0.75" header="0.3" footer="0.3"/>
  <headerFooter>
    <oddFooter>&amp;L_x000D_&amp;1#&amp;"Aptos"&amp;10&amp;K000000 Confidential-Internal</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D6BB9-6416-4690-997C-8E9436CA188A}">
  <dimension ref="A1:G89"/>
  <sheetViews>
    <sheetView topLeftCell="A5" workbookViewId="0">
      <selection activeCell="I11" sqref="I11:J11"/>
    </sheetView>
  </sheetViews>
  <sheetFormatPr defaultRowHeight="14.45"/>
  <cols>
    <col min="1" max="1" width="19.140625" customWidth="1"/>
    <col min="2" max="2" width="21.85546875" customWidth="1"/>
    <col min="3" max="3" width="33.5703125" customWidth="1"/>
    <col min="4" max="4" width="34.5703125" customWidth="1"/>
    <col min="5" max="5" width="30" customWidth="1"/>
    <col min="6" max="6" width="23.5703125" customWidth="1"/>
    <col min="7" max="7" width="28.140625" customWidth="1"/>
  </cols>
  <sheetData>
    <row r="1" spans="1:7" ht="32.1" customHeight="1">
      <c r="A1" s="338" t="s">
        <v>5876</v>
      </c>
      <c r="B1" s="338"/>
      <c r="C1" s="338"/>
      <c r="D1" s="338"/>
      <c r="E1" s="338"/>
      <c r="F1" s="338"/>
      <c r="G1" s="338"/>
    </row>
    <row r="2" spans="1:7">
      <c r="A2" s="301" t="s">
        <v>5877</v>
      </c>
      <c r="B2" s="301"/>
      <c r="C2" s="301"/>
      <c r="D2" s="301"/>
      <c r="E2" s="301"/>
      <c r="F2" s="301"/>
      <c r="G2" s="301"/>
    </row>
    <row r="3" spans="1:7">
      <c r="A3" s="57"/>
      <c r="B3" s="57"/>
      <c r="C3" s="57"/>
      <c r="D3" s="57"/>
      <c r="E3" s="57"/>
      <c r="F3" s="57"/>
      <c r="G3" s="57"/>
    </row>
    <row r="4" spans="1:7" ht="24" customHeight="1">
      <c r="A4" s="339" t="s">
        <v>5878</v>
      </c>
      <c r="B4" s="339"/>
      <c r="C4" s="339"/>
      <c r="D4" s="339"/>
      <c r="E4" s="339"/>
      <c r="F4" s="339"/>
      <c r="G4" s="339"/>
    </row>
    <row r="5" spans="1:7" ht="39.950000000000003" customHeight="1">
      <c r="A5" s="103" t="s">
        <v>5879</v>
      </c>
      <c r="B5" s="104">
        <v>46238</v>
      </c>
      <c r="C5" s="57"/>
      <c r="D5" s="340" t="s">
        <v>5880</v>
      </c>
      <c r="E5" s="340"/>
      <c r="F5" s="340"/>
      <c r="G5" s="340"/>
    </row>
    <row r="6" spans="1:7" ht="39.950000000000003" customHeight="1">
      <c r="A6" s="103" t="s">
        <v>5881</v>
      </c>
      <c r="B6" s="104">
        <f>EDATE(B5,6)-1</f>
        <v>46421</v>
      </c>
      <c r="C6" s="57"/>
      <c r="D6" s="340"/>
      <c r="E6" s="340"/>
      <c r="F6" s="340"/>
      <c r="G6" s="340"/>
    </row>
    <row r="7" spans="1:7" ht="39.950000000000003" customHeight="1">
      <c r="A7" s="103" t="s">
        <v>5882</v>
      </c>
      <c r="B7" s="105" t="s">
        <v>5883</v>
      </c>
      <c r="C7" s="57"/>
      <c r="D7" s="340"/>
      <c r="E7" s="340"/>
      <c r="F7" s="340"/>
      <c r="G7" s="340"/>
    </row>
    <row r="8" spans="1:7" ht="39.950000000000003" customHeight="1">
      <c r="A8" s="103" t="s">
        <v>5884</v>
      </c>
      <c r="B8" s="105" t="s">
        <v>5885</v>
      </c>
      <c r="C8" s="57"/>
      <c r="D8" s="340"/>
      <c r="E8" s="340"/>
      <c r="F8" s="340"/>
      <c r="G8" s="340"/>
    </row>
    <row r="9" spans="1:7" ht="24" customHeight="1">
      <c r="A9" s="339" t="s">
        <v>5886</v>
      </c>
      <c r="B9" s="339"/>
      <c r="C9" s="339"/>
      <c r="D9" s="339"/>
      <c r="E9" s="339"/>
      <c r="F9" s="339"/>
      <c r="G9" s="339"/>
    </row>
    <row r="10" spans="1:7">
      <c r="A10" s="106" t="s">
        <v>5887</v>
      </c>
      <c r="B10" s="106" t="s">
        <v>5888</v>
      </c>
      <c r="C10" s="106" t="s">
        <v>5889</v>
      </c>
      <c r="D10" s="106" t="s">
        <v>5890</v>
      </c>
      <c r="E10" s="106" t="s">
        <v>5891</v>
      </c>
      <c r="F10" s="106" t="s">
        <v>5892</v>
      </c>
      <c r="G10" s="106" t="s">
        <v>5893</v>
      </c>
    </row>
    <row r="11" spans="1:7" ht="29.1">
      <c r="A11" s="107">
        <v>1</v>
      </c>
      <c r="B11" s="107" t="s">
        <v>5894</v>
      </c>
      <c r="C11" s="107" t="s">
        <v>5895</v>
      </c>
      <c r="D11" s="107" t="s">
        <v>5896</v>
      </c>
      <c r="E11" s="107" t="s">
        <v>5897</v>
      </c>
      <c r="F11" s="107" t="s">
        <v>5898</v>
      </c>
      <c r="G11" s="107" t="s">
        <v>5899</v>
      </c>
    </row>
    <row r="12" spans="1:7" ht="29.1">
      <c r="A12" s="108">
        <v>2</v>
      </c>
      <c r="B12" s="108" t="s">
        <v>5900</v>
      </c>
      <c r="C12" s="108" t="s">
        <v>5901</v>
      </c>
      <c r="D12" s="108" t="s">
        <v>5902</v>
      </c>
      <c r="E12" s="108" t="s">
        <v>5903</v>
      </c>
      <c r="F12" s="108" t="s">
        <v>5904</v>
      </c>
      <c r="G12" s="108" t="s">
        <v>5905</v>
      </c>
    </row>
    <row r="13" spans="1:7" ht="43.5">
      <c r="A13" s="107">
        <v>3</v>
      </c>
      <c r="B13" s="107" t="s">
        <v>5906</v>
      </c>
      <c r="C13" s="107" t="s">
        <v>5907</v>
      </c>
      <c r="D13" s="107" t="s">
        <v>5908</v>
      </c>
      <c r="E13" s="107" t="s">
        <v>5909</v>
      </c>
      <c r="F13" s="107" t="s">
        <v>5910</v>
      </c>
      <c r="G13" s="107" t="s">
        <v>5911</v>
      </c>
    </row>
    <row r="14" spans="1:7" ht="29.1">
      <c r="A14" s="108">
        <v>4</v>
      </c>
      <c r="B14" s="108" t="s">
        <v>5912</v>
      </c>
      <c r="C14" s="108" t="s">
        <v>5913</v>
      </c>
      <c r="D14" s="108" t="s">
        <v>5914</v>
      </c>
      <c r="E14" s="108" t="s">
        <v>5915</v>
      </c>
      <c r="F14" s="108" t="s">
        <v>5916</v>
      </c>
      <c r="G14" s="108" t="s">
        <v>5917</v>
      </c>
    </row>
    <row r="15" spans="1:7" ht="29.1">
      <c r="A15" s="107">
        <v>5</v>
      </c>
      <c r="B15" s="107" t="s">
        <v>5918</v>
      </c>
      <c r="C15" s="107" t="s">
        <v>5919</v>
      </c>
      <c r="D15" s="107" t="s">
        <v>5920</v>
      </c>
      <c r="E15" s="107" t="s">
        <v>5921</v>
      </c>
      <c r="F15" s="107" t="s">
        <v>5922</v>
      </c>
      <c r="G15" s="107" t="s">
        <v>5923</v>
      </c>
    </row>
    <row r="16" spans="1:7" ht="29.1">
      <c r="A16" s="108">
        <v>6</v>
      </c>
      <c r="B16" s="108" t="s">
        <v>5924</v>
      </c>
      <c r="C16" s="108" t="s">
        <v>5925</v>
      </c>
      <c r="D16" s="108" t="s">
        <v>5926</v>
      </c>
      <c r="E16" s="108" t="s">
        <v>5927</v>
      </c>
      <c r="F16" s="108" t="s">
        <v>5928</v>
      </c>
      <c r="G16" s="108" t="s">
        <v>5929</v>
      </c>
    </row>
    <row r="17" spans="1:7" ht="29.1">
      <c r="A17" s="107">
        <v>7</v>
      </c>
      <c r="B17" s="107" t="s">
        <v>5930</v>
      </c>
      <c r="C17" s="107" t="s">
        <v>5931</v>
      </c>
      <c r="D17" s="107" t="s">
        <v>5932</v>
      </c>
      <c r="E17" s="107" t="s">
        <v>5933</v>
      </c>
      <c r="F17" s="107" t="s">
        <v>5934</v>
      </c>
      <c r="G17" s="107" t="s">
        <v>5935</v>
      </c>
    </row>
    <row r="18" spans="1:7" ht="29.1">
      <c r="A18" s="108">
        <v>8</v>
      </c>
      <c r="B18" s="108" t="s">
        <v>5936</v>
      </c>
      <c r="C18" s="108" t="s">
        <v>5937</v>
      </c>
      <c r="D18" s="108" t="s">
        <v>5938</v>
      </c>
      <c r="E18" s="108" t="s">
        <v>5939</v>
      </c>
      <c r="F18" s="108" t="s">
        <v>5940</v>
      </c>
      <c r="G18" s="108" t="s">
        <v>5941</v>
      </c>
    </row>
    <row r="19" spans="1:7" ht="29.1">
      <c r="A19" s="107">
        <v>9</v>
      </c>
      <c r="B19" s="107" t="s">
        <v>5942</v>
      </c>
      <c r="C19" s="107" t="s">
        <v>5943</v>
      </c>
      <c r="D19" s="107" t="s">
        <v>5944</v>
      </c>
      <c r="E19" s="107" t="s">
        <v>3357</v>
      </c>
      <c r="F19" s="107" t="s">
        <v>5945</v>
      </c>
      <c r="G19" s="107" t="s">
        <v>5946</v>
      </c>
    </row>
    <row r="20" spans="1:7" ht="29.1">
      <c r="A20" s="108">
        <v>10</v>
      </c>
      <c r="B20" s="108" t="s">
        <v>5947</v>
      </c>
      <c r="C20" s="108" t="s">
        <v>5948</v>
      </c>
      <c r="D20" s="108" t="s">
        <v>5949</v>
      </c>
      <c r="E20" s="108" t="s">
        <v>5950</v>
      </c>
      <c r="F20" s="108" t="s">
        <v>5951</v>
      </c>
      <c r="G20" s="108" t="s">
        <v>5952</v>
      </c>
    </row>
    <row r="21" spans="1:7">
      <c r="A21" s="57"/>
      <c r="B21" s="57"/>
      <c r="C21" s="57"/>
      <c r="D21" s="57"/>
      <c r="E21" s="57"/>
      <c r="F21" s="57"/>
      <c r="G21" s="57"/>
    </row>
    <row r="22" spans="1:7" ht="24" customHeight="1">
      <c r="A22" s="339" t="s">
        <v>5953</v>
      </c>
      <c r="B22" s="339"/>
      <c r="C22" s="339"/>
      <c r="D22" s="339"/>
      <c r="E22" s="339"/>
      <c r="F22" s="339"/>
      <c r="G22" s="339"/>
    </row>
    <row r="23" spans="1:7">
      <c r="A23" s="106" t="s">
        <v>5954</v>
      </c>
      <c r="B23" s="106" t="s">
        <v>3406</v>
      </c>
      <c r="C23" s="106" t="s">
        <v>5955</v>
      </c>
      <c r="D23" s="106" t="s">
        <v>5956</v>
      </c>
      <c r="E23" s="106" t="s">
        <v>5957</v>
      </c>
      <c r="F23" s="106" t="s">
        <v>5958</v>
      </c>
      <c r="G23" s="106" t="s">
        <v>5959</v>
      </c>
    </row>
    <row r="24" spans="1:7" ht="57.95">
      <c r="A24" s="109" t="s">
        <v>5960</v>
      </c>
      <c r="B24" s="107" t="s">
        <v>825</v>
      </c>
      <c r="C24" s="107" t="str">
        <f>TEXT(EDATE($B$5,0),"mmm yyyy")&amp;" – "&amp;TEXT(EDATE($B$5,3)-1,"mmm yyyy")</f>
        <v>Aug 2026 – Nov 2026</v>
      </c>
      <c r="D24" s="107" t="s">
        <v>5961</v>
      </c>
      <c r="E24" s="107" t="s">
        <v>5962</v>
      </c>
      <c r="F24" s="107" t="s">
        <v>5963</v>
      </c>
      <c r="G24" s="107" t="s">
        <v>5964</v>
      </c>
    </row>
    <row r="25" spans="1:7" ht="43.5">
      <c r="A25" s="110" t="s">
        <v>5965</v>
      </c>
      <c r="B25" s="108" t="s">
        <v>831</v>
      </c>
      <c r="C25" s="108" t="str">
        <f>TEXT(EDATE($B$5,3),"mmm yyyy")&amp;" – "&amp;TEXT(EDATE($B$5,6)-1,"mmm yyyy")</f>
        <v>Nov 2026 – Feb 2027</v>
      </c>
      <c r="D25" s="108" t="s">
        <v>5966</v>
      </c>
      <c r="E25" s="108" t="s">
        <v>5967</v>
      </c>
      <c r="F25" s="108" t="s">
        <v>5968</v>
      </c>
      <c r="G25" s="108" t="s">
        <v>5969</v>
      </c>
    </row>
    <row r="26" spans="1:7" ht="72.599999999999994">
      <c r="A26" s="109" t="s">
        <v>5970</v>
      </c>
      <c r="B26" s="107" t="s">
        <v>837</v>
      </c>
      <c r="C26" s="107" t="str">
        <f>TEXT(EDATE($B$5,6),"mmm yyyy")&amp;" – "&amp;TEXT(EDATE($B$5,12)-1,"mmm yyyy")</f>
        <v>Feb 2027 – Aug 2027</v>
      </c>
      <c r="D26" s="107" t="s">
        <v>5971</v>
      </c>
      <c r="E26" s="107" t="s">
        <v>5972</v>
      </c>
      <c r="F26" s="107" t="s">
        <v>5973</v>
      </c>
      <c r="G26" s="107" t="s">
        <v>5974</v>
      </c>
    </row>
    <row r="27" spans="1:7" ht="57.95">
      <c r="A27" s="110" t="s">
        <v>5975</v>
      </c>
      <c r="B27" s="108" t="s">
        <v>843</v>
      </c>
      <c r="C27" s="108" t="str">
        <f>TEXT(EDATE($B$5,12),"mmm yyyy")&amp;" – "&amp;TEXT(EDATE($B$5,18)-1,"mmm yyyy")</f>
        <v>Aug 2027 – Feb 2028</v>
      </c>
      <c r="D27" s="108" t="s">
        <v>5976</v>
      </c>
      <c r="E27" s="108" t="s">
        <v>5977</v>
      </c>
      <c r="F27" s="108" t="s">
        <v>5978</v>
      </c>
      <c r="G27" s="108" t="s">
        <v>5979</v>
      </c>
    </row>
    <row r="28" spans="1:7" ht="57.95">
      <c r="A28" s="109" t="s">
        <v>5980</v>
      </c>
      <c r="B28" s="107" t="s">
        <v>849</v>
      </c>
      <c r="C28" s="107" t="str">
        <f>TEXT(EDATE($B$5,18),"mmm yyyy")&amp;" – "&amp;TEXT(EDATE($B$5,30)-1,"mmm yyyy")</f>
        <v>Feb 2028 – Feb 2029</v>
      </c>
      <c r="D28" s="107" t="s">
        <v>5981</v>
      </c>
      <c r="E28" s="107" t="s">
        <v>5982</v>
      </c>
      <c r="F28" s="107" t="s">
        <v>5983</v>
      </c>
      <c r="G28" s="107" t="s">
        <v>5984</v>
      </c>
    </row>
    <row r="29" spans="1:7" ht="57.95">
      <c r="A29" s="110" t="s">
        <v>5985</v>
      </c>
      <c r="B29" s="108" t="s">
        <v>855</v>
      </c>
      <c r="C29" s="108" t="str">
        <f>TEXT(EDATE($B$5,30),"mmm yyyy")&amp;" – "&amp;TEXT(EDATE($B$5,36)-1,"mmm yyyy")</f>
        <v>Feb 2029 – Aug 2029</v>
      </c>
      <c r="D29" s="108" t="s">
        <v>5986</v>
      </c>
      <c r="E29" s="108" t="s">
        <v>5987</v>
      </c>
      <c r="F29" s="108" t="s">
        <v>5988</v>
      </c>
      <c r="G29" s="108" t="s">
        <v>5989</v>
      </c>
    </row>
    <row r="30" spans="1:7">
      <c r="A30" s="57"/>
      <c r="B30" s="57"/>
      <c r="C30" s="57"/>
      <c r="D30" s="57"/>
      <c r="E30" s="57"/>
      <c r="F30" s="57"/>
      <c r="G30" s="57"/>
    </row>
    <row r="31" spans="1:7" ht="24" customHeight="1">
      <c r="A31" s="339" t="s">
        <v>5990</v>
      </c>
      <c r="B31" s="339"/>
      <c r="C31" s="339"/>
      <c r="D31" s="339"/>
      <c r="E31" s="339"/>
      <c r="F31" s="339"/>
      <c r="G31" s="339"/>
    </row>
    <row r="32" spans="1:7">
      <c r="A32" s="106" t="s">
        <v>3</v>
      </c>
      <c r="B32" s="106" t="s">
        <v>5991</v>
      </c>
      <c r="C32" s="106" t="s">
        <v>6</v>
      </c>
      <c r="D32" s="106" t="s">
        <v>5992</v>
      </c>
      <c r="E32" s="106" t="s">
        <v>5993</v>
      </c>
      <c r="F32" s="106" t="s">
        <v>2638</v>
      </c>
      <c r="G32" s="106" t="s">
        <v>5994</v>
      </c>
    </row>
    <row r="33" spans="1:7" ht="29.1">
      <c r="A33" s="107">
        <v>1</v>
      </c>
      <c r="B33" s="107" t="s">
        <v>5995</v>
      </c>
      <c r="C33" s="107" t="s">
        <v>5996</v>
      </c>
      <c r="D33" s="107" t="s">
        <v>5997</v>
      </c>
      <c r="E33" s="107" t="s">
        <v>5998</v>
      </c>
      <c r="F33" s="107" t="s">
        <v>5999</v>
      </c>
      <c r="G33" s="107" t="s">
        <v>6000</v>
      </c>
    </row>
    <row r="34" spans="1:7" ht="43.5">
      <c r="A34" s="108">
        <v>2</v>
      </c>
      <c r="B34" s="108" t="s">
        <v>6001</v>
      </c>
      <c r="C34" s="108" t="s">
        <v>6002</v>
      </c>
      <c r="D34" s="108" t="s">
        <v>6003</v>
      </c>
      <c r="E34" s="108" t="s">
        <v>6004</v>
      </c>
      <c r="F34" s="108" t="s">
        <v>6005</v>
      </c>
      <c r="G34" s="108" t="s">
        <v>5904</v>
      </c>
    </row>
    <row r="35" spans="1:7" ht="29.1">
      <c r="A35" s="107">
        <v>3</v>
      </c>
      <c r="B35" s="107" t="s">
        <v>6006</v>
      </c>
      <c r="C35" s="107" t="s">
        <v>6007</v>
      </c>
      <c r="D35" s="107" t="s">
        <v>6008</v>
      </c>
      <c r="E35" s="107" t="s">
        <v>6009</v>
      </c>
      <c r="F35" s="107" t="s">
        <v>6010</v>
      </c>
      <c r="G35" s="107" t="s">
        <v>6011</v>
      </c>
    </row>
    <row r="36" spans="1:7" ht="43.5">
      <c r="A36" s="108">
        <v>4</v>
      </c>
      <c r="B36" s="108" t="s">
        <v>6012</v>
      </c>
      <c r="C36" s="108" t="s">
        <v>6013</v>
      </c>
      <c r="D36" s="108" t="s">
        <v>6014</v>
      </c>
      <c r="E36" s="108" t="s">
        <v>6015</v>
      </c>
      <c r="F36" s="108" t="s">
        <v>5915</v>
      </c>
      <c r="G36" s="108" t="s">
        <v>5916</v>
      </c>
    </row>
    <row r="37" spans="1:7" ht="43.5">
      <c r="A37" s="107">
        <v>5</v>
      </c>
      <c r="B37" s="107" t="s">
        <v>6016</v>
      </c>
      <c r="C37" s="107" t="s">
        <v>6017</v>
      </c>
      <c r="D37" s="107" t="s">
        <v>6018</v>
      </c>
      <c r="E37" s="107" t="s">
        <v>6019</v>
      </c>
      <c r="F37" s="107" t="s">
        <v>2667</v>
      </c>
      <c r="G37" s="107" t="s">
        <v>6020</v>
      </c>
    </row>
    <row r="38" spans="1:7" ht="43.5">
      <c r="A38" s="108">
        <v>6</v>
      </c>
      <c r="B38" s="108" t="s">
        <v>6021</v>
      </c>
      <c r="C38" s="108" t="s">
        <v>6022</v>
      </c>
      <c r="D38" s="108" t="s">
        <v>5262</v>
      </c>
      <c r="E38" s="108" t="s">
        <v>6023</v>
      </c>
      <c r="F38" s="108" t="s">
        <v>6024</v>
      </c>
      <c r="G38" s="108" t="s">
        <v>1212</v>
      </c>
    </row>
    <row r="39" spans="1:7" ht="43.5">
      <c r="A39" s="107">
        <v>7</v>
      </c>
      <c r="B39" s="107" t="s">
        <v>6025</v>
      </c>
      <c r="C39" s="107" t="s">
        <v>6026</v>
      </c>
      <c r="D39" s="107" t="s">
        <v>6027</v>
      </c>
      <c r="E39" s="107" t="s">
        <v>6028</v>
      </c>
      <c r="F39" s="107" t="s">
        <v>3112</v>
      </c>
      <c r="G39" s="107" t="s">
        <v>6029</v>
      </c>
    </row>
    <row r="40" spans="1:7" ht="43.5">
      <c r="A40" s="108">
        <v>8</v>
      </c>
      <c r="B40" s="108" t="s">
        <v>6030</v>
      </c>
      <c r="C40" s="108" t="s">
        <v>6031</v>
      </c>
      <c r="D40" s="108" t="s">
        <v>5262</v>
      </c>
      <c r="E40" s="108" t="s">
        <v>6032</v>
      </c>
      <c r="F40" s="108" t="s">
        <v>6033</v>
      </c>
      <c r="G40" s="108" t="s">
        <v>6034</v>
      </c>
    </row>
    <row r="41" spans="1:7" ht="43.5">
      <c r="A41" s="107">
        <v>9</v>
      </c>
      <c r="B41" s="107" t="s">
        <v>6035</v>
      </c>
      <c r="C41" s="107" t="s">
        <v>6036</v>
      </c>
      <c r="D41" s="107" t="s">
        <v>5262</v>
      </c>
      <c r="E41" s="107" t="s">
        <v>6037</v>
      </c>
      <c r="F41" s="107" t="s">
        <v>6038</v>
      </c>
      <c r="G41" s="107" t="s">
        <v>6039</v>
      </c>
    </row>
    <row r="42" spans="1:7" ht="43.5">
      <c r="A42" s="108">
        <v>10</v>
      </c>
      <c r="B42" s="108" t="s">
        <v>6040</v>
      </c>
      <c r="C42" s="108" t="s">
        <v>6041</v>
      </c>
      <c r="D42" s="108" t="s">
        <v>6042</v>
      </c>
      <c r="E42" s="108" t="s">
        <v>6043</v>
      </c>
      <c r="F42" s="108" t="s">
        <v>5950</v>
      </c>
      <c r="G42" s="108" t="s">
        <v>4183</v>
      </c>
    </row>
    <row r="43" spans="1:7" ht="43.5">
      <c r="A43" s="107">
        <v>11</v>
      </c>
      <c r="B43" s="107" t="s">
        <v>6044</v>
      </c>
      <c r="C43" s="107" t="s">
        <v>6045</v>
      </c>
      <c r="D43" s="107" t="s">
        <v>6046</v>
      </c>
      <c r="E43" s="107" t="s">
        <v>6047</v>
      </c>
      <c r="F43" s="107" t="s">
        <v>6048</v>
      </c>
      <c r="G43" s="107" t="s">
        <v>6049</v>
      </c>
    </row>
    <row r="44" spans="1:7">
      <c r="A44" s="57"/>
      <c r="B44" s="57"/>
      <c r="C44" s="57"/>
      <c r="D44" s="57"/>
      <c r="E44" s="57"/>
      <c r="F44" s="57"/>
      <c r="G44" s="57"/>
    </row>
    <row r="45" spans="1:7" ht="24" customHeight="1">
      <c r="A45" s="339" t="s">
        <v>6050</v>
      </c>
      <c r="B45" s="339"/>
      <c r="C45" s="339"/>
      <c r="D45" s="339"/>
      <c r="E45" s="339"/>
      <c r="F45" s="339"/>
      <c r="G45" s="339"/>
    </row>
    <row r="46" spans="1:7">
      <c r="A46" s="106" t="s">
        <v>990</v>
      </c>
      <c r="B46" s="106" t="s">
        <v>6051</v>
      </c>
      <c r="C46" s="106" t="s">
        <v>5393</v>
      </c>
      <c r="D46" s="106" t="s">
        <v>6052</v>
      </c>
      <c r="E46" s="106" t="s">
        <v>2638</v>
      </c>
      <c r="F46" s="106" t="s">
        <v>2266</v>
      </c>
      <c r="G46" s="106" t="s">
        <v>6053</v>
      </c>
    </row>
    <row r="47" spans="1:7" ht="57.95">
      <c r="A47" s="111">
        <v>1</v>
      </c>
      <c r="B47" s="107" t="s">
        <v>6054</v>
      </c>
      <c r="C47" s="107" t="s">
        <v>6055</v>
      </c>
      <c r="D47" s="107" t="s">
        <v>6056</v>
      </c>
      <c r="E47" s="107" t="s">
        <v>6057</v>
      </c>
      <c r="F47" s="107" t="s">
        <v>6058</v>
      </c>
      <c r="G47" s="107" t="s">
        <v>6059</v>
      </c>
    </row>
    <row r="48" spans="1:7" ht="57.95">
      <c r="A48" s="112">
        <v>2</v>
      </c>
      <c r="B48" s="108" t="s">
        <v>6060</v>
      </c>
      <c r="C48" s="108" t="s">
        <v>6061</v>
      </c>
      <c r="D48" s="108" t="s">
        <v>6062</v>
      </c>
      <c r="E48" s="108" t="s">
        <v>6063</v>
      </c>
      <c r="F48" s="108" t="s">
        <v>6064</v>
      </c>
      <c r="G48" s="108" t="s">
        <v>6065</v>
      </c>
    </row>
    <row r="49" spans="1:7" ht="43.5">
      <c r="A49" s="111">
        <v>3</v>
      </c>
      <c r="B49" s="107" t="s">
        <v>6066</v>
      </c>
      <c r="C49" s="107" t="s">
        <v>6067</v>
      </c>
      <c r="D49" s="107" t="s">
        <v>6068</v>
      </c>
      <c r="E49" s="107" t="s">
        <v>6069</v>
      </c>
      <c r="F49" s="107" t="s">
        <v>6070</v>
      </c>
      <c r="G49" s="107" t="s">
        <v>6071</v>
      </c>
    </row>
    <row r="50" spans="1:7" ht="29.1">
      <c r="A50" s="112">
        <v>4</v>
      </c>
      <c r="B50" s="108" t="s">
        <v>6072</v>
      </c>
      <c r="C50" s="108" t="s">
        <v>6073</v>
      </c>
      <c r="D50" s="108" t="s">
        <v>6074</v>
      </c>
      <c r="E50" s="108" t="s">
        <v>5915</v>
      </c>
      <c r="F50" s="108" t="s">
        <v>6075</v>
      </c>
      <c r="G50" s="108" t="s">
        <v>6076</v>
      </c>
    </row>
    <row r="51" spans="1:7" ht="29.1">
      <c r="A51" s="111">
        <v>5</v>
      </c>
      <c r="B51" s="107" t="s">
        <v>6077</v>
      </c>
      <c r="C51" s="107" t="s">
        <v>6078</v>
      </c>
      <c r="D51" s="107" t="s">
        <v>6079</v>
      </c>
      <c r="E51" s="107" t="s">
        <v>6080</v>
      </c>
      <c r="F51" s="107" t="s">
        <v>6081</v>
      </c>
      <c r="G51" s="107" t="s">
        <v>6082</v>
      </c>
    </row>
    <row r="52" spans="1:7" ht="43.5">
      <c r="A52" s="112">
        <v>6</v>
      </c>
      <c r="B52" s="108" t="s">
        <v>6083</v>
      </c>
      <c r="C52" s="108" t="s">
        <v>6084</v>
      </c>
      <c r="D52" s="108" t="s">
        <v>6085</v>
      </c>
      <c r="E52" s="108" t="s">
        <v>6086</v>
      </c>
      <c r="F52" s="108" t="s">
        <v>6087</v>
      </c>
      <c r="G52" s="108" t="s">
        <v>6088</v>
      </c>
    </row>
    <row r="53" spans="1:7">
      <c r="A53" s="57"/>
      <c r="B53" s="57"/>
      <c r="C53" s="57"/>
      <c r="D53" s="57"/>
      <c r="E53" s="57"/>
      <c r="F53" s="57"/>
      <c r="G53" s="57"/>
    </row>
    <row r="54" spans="1:7" ht="24" customHeight="1">
      <c r="A54" s="339" t="s">
        <v>6089</v>
      </c>
      <c r="B54" s="339"/>
      <c r="C54" s="339"/>
      <c r="D54" s="339"/>
      <c r="E54" s="339"/>
      <c r="F54" s="339"/>
      <c r="G54" s="339"/>
    </row>
    <row r="55" spans="1:7" ht="75" customHeight="1">
      <c r="A55" s="341" t="s">
        <v>6090</v>
      </c>
      <c r="B55" s="341"/>
      <c r="C55" s="341"/>
      <c r="D55" s="341"/>
      <c r="E55" s="341"/>
      <c r="F55" s="341"/>
      <c r="G55" s="341"/>
    </row>
    <row r="56" spans="1:7">
      <c r="A56" s="57"/>
      <c r="B56" s="57"/>
      <c r="C56" s="57"/>
      <c r="D56" s="57"/>
      <c r="E56" s="57"/>
      <c r="F56" s="57"/>
      <c r="G56" s="57"/>
    </row>
    <row r="57" spans="1:7">
      <c r="A57" s="301" t="s">
        <v>6091</v>
      </c>
      <c r="B57" s="301"/>
      <c r="C57" s="301"/>
      <c r="D57" s="301"/>
      <c r="E57" s="301"/>
      <c r="F57" s="301"/>
      <c r="G57" s="301"/>
    </row>
    <row r="58" spans="1:7">
      <c r="A58" s="57"/>
      <c r="B58" s="57"/>
      <c r="C58" s="57"/>
      <c r="D58" s="57"/>
      <c r="E58" s="57"/>
      <c r="F58" s="57"/>
      <c r="G58" s="57"/>
    </row>
    <row r="59" spans="1:7" ht="24" customHeight="1">
      <c r="A59" s="339" t="s">
        <v>6092</v>
      </c>
      <c r="B59" s="339"/>
      <c r="C59" s="339"/>
      <c r="D59" s="339"/>
      <c r="E59" s="339"/>
      <c r="F59" s="339"/>
      <c r="G59" s="339"/>
    </row>
    <row r="60" spans="1:7">
      <c r="A60" s="106" t="s">
        <v>6093</v>
      </c>
      <c r="B60" s="106" t="s">
        <v>6094</v>
      </c>
      <c r="C60" s="106" t="s">
        <v>6095</v>
      </c>
      <c r="D60" s="106" t="s">
        <v>6096</v>
      </c>
      <c r="E60" s="106" t="s">
        <v>6097</v>
      </c>
      <c r="F60" s="106" t="s">
        <v>6098</v>
      </c>
      <c r="G60" s="106" t="s">
        <v>6099</v>
      </c>
    </row>
    <row r="61" spans="1:7" ht="72.599999999999994">
      <c r="A61" s="109" t="s">
        <v>6100</v>
      </c>
      <c r="B61" s="107" t="str">
        <f>TEXT($B$5,"dd mmm yyyy")&amp;" – "&amp;TEXT($B$5+19,"dd mmm yyyy")</f>
        <v>04 Aug 2026 – 23 Aug 2026</v>
      </c>
      <c r="C61" s="107" t="s">
        <v>6101</v>
      </c>
      <c r="D61" s="107" t="s">
        <v>6102</v>
      </c>
      <c r="E61" s="107" t="s">
        <v>6103</v>
      </c>
      <c r="F61" s="107" t="s">
        <v>6104</v>
      </c>
      <c r="G61" s="107" t="s">
        <v>6105</v>
      </c>
    </row>
    <row r="62" spans="1:7" ht="57.95">
      <c r="A62" s="110" t="s">
        <v>6106</v>
      </c>
      <c r="B62" s="108" t="str">
        <f>TEXT($B$5+20,"dd mmm yyyy")&amp;" – "&amp;TEXT($B$5+66,"dd mmm yyyy")</f>
        <v>24 Aug 2026 – 09 Oct 2026</v>
      </c>
      <c r="C62" s="108" t="s">
        <v>6107</v>
      </c>
      <c r="D62" s="108" t="s">
        <v>6108</v>
      </c>
      <c r="E62" s="108" t="s">
        <v>6109</v>
      </c>
      <c r="F62" s="108" t="s">
        <v>6110</v>
      </c>
      <c r="G62" s="108" t="s">
        <v>6111</v>
      </c>
    </row>
    <row r="63" spans="1:7" ht="57.95">
      <c r="A63" s="109" t="s">
        <v>6112</v>
      </c>
      <c r="B63" s="107" t="str">
        <f>TEXT($B$5+41,"dd mmm yyyy")&amp;" – "&amp;TEXT($B$5+94,"dd mmm yyyy")</f>
        <v>14 Sep 2026 – 06 Nov 2026</v>
      </c>
      <c r="C63" s="107" t="s">
        <v>6113</v>
      </c>
      <c r="D63" s="107" t="s">
        <v>6114</v>
      </c>
      <c r="E63" s="107" t="s">
        <v>6115</v>
      </c>
      <c r="F63" s="107" t="s">
        <v>6116</v>
      </c>
      <c r="G63" s="107" t="s">
        <v>6117</v>
      </c>
    </row>
    <row r="64" spans="1:7" ht="72.599999999999994">
      <c r="A64" s="110" t="s">
        <v>6118</v>
      </c>
      <c r="B64" s="108" t="str">
        <f>TEXT($B$5+69,"dd mmm yyyy")&amp;" – "&amp;TEXT($B$5+122,"dd mmm yyyy")</f>
        <v>12 Oct 2026 – 04 Dec 2026</v>
      </c>
      <c r="C64" s="108" t="s">
        <v>6119</v>
      </c>
      <c r="D64" s="108" t="s">
        <v>6120</v>
      </c>
      <c r="E64" s="108" t="s">
        <v>6121</v>
      </c>
      <c r="F64" s="108" t="s">
        <v>6122</v>
      </c>
      <c r="G64" s="108" t="s">
        <v>6123</v>
      </c>
    </row>
    <row r="65" spans="1:7" ht="57.95">
      <c r="A65" s="109" t="s">
        <v>6124</v>
      </c>
      <c r="B65" s="107" t="str">
        <f>TEXT($B$5+97,"dd mmm yyyy")&amp;" – "&amp;TEXT($B$5+150,"dd mmm yyyy")</f>
        <v>09 Nov 2026 – 01 Jan 2027</v>
      </c>
      <c r="C65" s="107" t="s">
        <v>6125</v>
      </c>
      <c r="D65" s="107" t="s">
        <v>6126</v>
      </c>
      <c r="E65" s="107" t="s">
        <v>6127</v>
      </c>
      <c r="F65" s="107" t="s">
        <v>6128</v>
      </c>
      <c r="G65" s="107" t="s">
        <v>6129</v>
      </c>
    </row>
    <row r="66" spans="1:7" ht="57.95">
      <c r="A66" s="110" t="s">
        <v>6130</v>
      </c>
      <c r="B66" s="108" t="str">
        <f>TEXT($B$5+132,"dd mmm yyyy")&amp;" – "&amp;TEXT($B$5+171,"dd mmm yyyy")</f>
        <v>14 Dec 2026 – 22 Jan 2027</v>
      </c>
      <c r="C66" s="108" t="s">
        <v>6131</v>
      </c>
      <c r="D66" s="108" t="s">
        <v>6132</v>
      </c>
      <c r="E66" s="108" t="s">
        <v>6133</v>
      </c>
      <c r="F66" s="108" t="s">
        <v>6134</v>
      </c>
      <c r="G66" s="108" t="s">
        <v>6135</v>
      </c>
    </row>
    <row r="67" spans="1:7" ht="43.5">
      <c r="A67" s="109" t="s">
        <v>6136</v>
      </c>
      <c r="B67" s="107" t="str">
        <f>TEXT($B$5+172,"dd mmm yyyy")&amp;" – "&amp;TEXT(EDATE($B$5,6)-1,"dd mmm yyyy")</f>
        <v>23 Jan 2027 – 03 Feb 2027</v>
      </c>
      <c r="C67" s="107" t="s">
        <v>6137</v>
      </c>
      <c r="D67" s="107" t="s">
        <v>6138</v>
      </c>
      <c r="E67" s="107" t="s">
        <v>6139</v>
      </c>
      <c r="F67" s="107" t="s">
        <v>6140</v>
      </c>
      <c r="G67" s="107" t="s">
        <v>6141</v>
      </c>
    </row>
    <row r="68" spans="1:7">
      <c r="A68" s="57"/>
      <c r="B68" s="57"/>
      <c r="C68" s="57"/>
      <c r="D68" s="57"/>
      <c r="E68" s="57"/>
      <c r="F68" s="57"/>
      <c r="G68" s="57"/>
    </row>
    <row r="69" spans="1:7" ht="24" customHeight="1">
      <c r="A69" s="339" t="s">
        <v>6142</v>
      </c>
      <c r="B69" s="339"/>
      <c r="C69" s="339"/>
      <c r="D69" s="339"/>
      <c r="E69" s="339"/>
      <c r="F69" s="339"/>
      <c r="G69" s="339"/>
    </row>
    <row r="70" spans="1:7">
      <c r="A70" s="106" t="s">
        <v>3</v>
      </c>
      <c r="B70" s="106" t="s">
        <v>6143</v>
      </c>
      <c r="C70" s="106" t="s">
        <v>5278</v>
      </c>
      <c r="D70" s="106" t="s">
        <v>6144</v>
      </c>
      <c r="E70" s="106" t="s">
        <v>2945</v>
      </c>
      <c r="F70" s="106" t="s">
        <v>2638</v>
      </c>
      <c r="G70" s="106" t="s">
        <v>6145</v>
      </c>
    </row>
    <row r="71" spans="1:7" ht="43.5">
      <c r="A71" s="111">
        <v>1</v>
      </c>
      <c r="B71" s="107" t="s">
        <v>6146</v>
      </c>
      <c r="C71" s="107" t="s">
        <v>6147</v>
      </c>
      <c r="D71" s="107" t="s">
        <v>6148</v>
      </c>
      <c r="E71" s="107" t="s">
        <v>6149</v>
      </c>
      <c r="F71" s="107" t="s">
        <v>6150</v>
      </c>
      <c r="G71" s="107" t="s">
        <v>6151</v>
      </c>
    </row>
    <row r="72" spans="1:7" ht="29.1">
      <c r="A72" s="112">
        <v>2</v>
      </c>
      <c r="B72" s="108" t="s">
        <v>4575</v>
      </c>
      <c r="C72" s="108" t="s">
        <v>6152</v>
      </c>
      <c r="D72" s="108" t="s">
        <v>6153</v>
      </c>
      <c r="E72" s="108" t="s">
        <v>6154</v>
      </c>
      <c r="F72" s="108" t="s">
        <v>6155</v>
      </c>
      <c r="G72" s="108" t="s">
        <v>6156</v>
      </c>
    </row>
    <row r="73" spans="1:7" ht="43.5">
      <c r="A73" s="111">
        <v>3</v>
      </c>
      <c r="B73" s="107" t="s">
        <v>4573</v>
      </c>
      <c r="C73" s="107" t="s">
        <v>6157</v>
      </c>
      <c r="D73" s="107" t="s">
        <v>6158</v>
      </c>
      <c r="E73" s="107" t="s">
        <v>6159</v>
      </c>
      <c r="F73" s="107" t="s">
        <v>3358</v>
      </c>
      <c r="G73" s="107" t="s">
        <v>6160</v>
      </c>
    </row>
    <row r="74" spans="1:7" ht="29.1">
      <c r="A74" s="112">
        <v>4</v>
      </c>
      <c r="B74" s="108" t="s">
        <v>6161</v>
      </c>
      <c r="C74" s="108" t="s">
        <v>6162</v>
      </c>
      <c r="D74" s="108" t="s">
        <v>6163</v>
      </c>
      <c r="E74" s="108" t="s">
        <v>6164</v>
      </c>
      <c r="F74" s="108" t="s">
        <v>6165</v>
      </c>
      <c r="G74" s="108" t="s">
        <v>6166</v>
      </c>
    </row>
    <row r="75" spans="1:7" ht="29.1">
      <c r="A75" s="111">
        <v>5</v>
      </c>
      <c r="B75" s="107" t="s">
        <v>3340</v>
      </c>
      <c r="C75" s="107" t="s">
        <v>6147</v>
      </c>
      <c r="D75" s="107" t="s">
        <v>6167</v>
      </c>
      <c r="E75" s="107" t="s">
        <v>6168</v>
      </c>
      <c r="F75" s="107" t="s">
        <v>6169</v>
      </c>
      <c r="G75" s="107" t="s">
        <v>6170</v>
      </c>
    </row>
    <row r="76" spans="1:7" ht="43.5">
      <c r="A76" s="112">
        <v>6</v>
      </c>
      <c r="B76" s="108" t="s">
        <v>6171</v>
      </c>
      <c r="C76" s="108" t="s">
        <v>6147</v>
      </c>
      <c r="D76" s="108" t="s">
        <v>6172</v>
      </c>
      <c r="E76" s="108" t="s">
        <v>6173</v>
      </c>
      <c r="F76" s="108" t="s">
        <v>6174</v>
      </c>
      <c r="G76" s="108" t="s">
        <v>6175</v>
      </c>
    </row>
    <row r="78" spans="1:7">
      <c r="A78" s="328" t="s">
        <v>6176</v>
      </c>
      <c r="B78" s="328"/>
      <c r="C78" s="328"/>
      <c r="D78" s="328"/>
      <c r="E78" s="328"/>
      <c r="F78" s="328"/>
      <c r="G78" s="328"/>
    </row>
    <row r="79" spans="1:7">
      <c r="A79" s="57"/>
      <c r="B79" s="57"/>
      <c r="C79" s="57"/>
      <c r="D79" s="57"/>
      <c r="E79" s="57"/>
      <c r="F79" s="57"/>
      <c r="G79" s="57"/>
    </row>
    <row r="80" spans="1:7">
      <c r="A80" s="57" t="s">
        <v>6177</v>
      </c>
      <c r="B80" s="57" t="s">
        <v>6178</v>
      </c>
      <c r="C80" s="57" t="s">
        <v>6179</v>
      </c>
      <c r="D80" s="57" t="s">
        <v>6180</v>
      </c>
      <c r="E80" s="57" t="s">
        <v>6181</v>
      </c>
      <c r="F80" s="57" t="s">
        <v>5355</v>
      </c>
      <c r="G80" s="57" t="s">
        <v>2945</v>
      </c>
    </row>
    <row r="81" spans="1:7" ht="29.1">
      <c r="A81" s="57">
        <v>31</v>
      </c>
      <c r="B81" s="57" t="s">
        <v>6182</v>
      </c>
      <c r="C81" s="57" t="s">
        <v>6183</v>
      </c>
      <c r="D81" s="57" t="s">
        <v>6184</v>
      </c>
      <c r="E81" s="57" t="s">
        <v>6185</v>
      </c>
      <c r="F81" s="57" t="s">
        <v>6186</v>
      </c>
      <c r="G81" s="57" t="s">
        <v>6187</v>
      </c>
    </row>
    <row r="82" spans="1:7" ht="43.5">
      <c r="A82" s="57" t="s">
        <v>6188</v>
      </c>
      <c r="B82" s="57" t="s">
        <v>6189</v>
      </c>
      <c r="C82" s="57" t="s">
        <v>6190</v>
      </c>
      <c r="D82" s="57" t="s">
        <v>6191</v>
      </c>
      <c r="E82" s="57" t="s">
        <v>6192</v>
      </c>
      <c r="F82" s="57" t="s">
        <v>6193</v>
      </c>
      <c r="G82" s="57" t="s">
        <v>6194</v>
      </c>
    </row>
    <row r="83" spans="1:7" ht="29.1">
      <c r="A83" s="57">
        <v>41</v>
      </c>
      <c r="B83" s="57" t="s">
        <v>6195</v>
      </c>
      <c r="C83" s="57" t="s">
        <v>6196</v>
      </c>
      <c r="D83" s="57" t="s">
        <v>6197</v>
      </c>
      <c r="E83" s="57" t="s">
        <v>481</v>
      </c>
      <c r="F83" s="57" t="s">
        <v>6198</v>
      </c>
      <c r="G83" s="57" t="s">
        <v>6199</v>
      </c>
    </row>
    <row r="84" spans="1:7" ht="29.1">
      <c r="A84" s="57">
        <v>48</v>
      </c>
      <c r="B84" s="57" t="s">
        <v>6200</v>
      </c>
      <c r="C84" s="57" t="s">
        <v>6201</v>
      </c>
      <c r="D84" s="57" t="s">
        <v>6202</v>
      </c>
      <c r="E84" s="57" t="s">
        <v>481</v>
      </c>
      <c r="F84" s="57" t="s">
        <v>6198</v>
      </c>
      <c r="G84" s="57" t="s">
        <v>6203</v>
      </c>
    </row>
    <row r="85" spans="1:7" ht="29.1">
      <c r="A85" s="57">
        <v>65</v>
      </c>
      <c r="B85" s="57" t="s">
        <v>6204</v>
      </c>
      <c r="C85" s="57" t="s">
        <v>6205</v>
      </c>
      <c r="D85" s="57" t="s">
        <v>6206</v>
      </c>
      <c r="E85" s="57" t="s">
        <v>6207</v>
      </c>
      <c r="F85" s="57" t="s">
        <v>6208</v>
      </c>
      <c r="G85" s="57" t="s">
        <v>6209</v>
      </c>
    </row>
    <row r="86" spans="1:7" ht="43.5">
      <c r="A86" s="57">
        <v>66</v>
      </c>
      <c r="B86" s="57" t="s">
        <v>6210</v>
      </c>
      <c r="C86" s="57" t="s">
        <v>6211</v>
      </c>
      <c r="D86" s="57" t="s">
        <v>6212</v>
      </c>
      <c r="E86" s="57" t="s">
        <v>6213</v>
      </c>
      <c r="F86" s="57" t="s">
        <v>6214</v>
      </c>
      <c r="G86" s="57" t="s">
        <v>6215</v>
      </c>
    </row>
    <row r="87" spans="1:7" ht="29.1">
      <c r="A87" s="57" t="s">
        <v>6216</v>
      </c>
      <c r="B87" s="57" t="s">
        <v>6217</v>
      </c>
      <c r="C87" s="57" t="s">
        <v>6218</v>
      </c>
      <c r="D87" s="57" t="s">
        <v>6219</v>
      </c>
      <c r="E87" s="57" t="s">
        <v>6220</v>
      </c>
      <c r="F87" s="57" t="s">
        <v>6221</v>
      </c>
      <c r="G87" s="57" t="s">
        <v>6222</v>
      </c>
    </row>
    <row r="88" spans="1:7" ht="29.1">
      <c r="A88" s="57">
        <v>60</v>
      </c>
      <c r="B88" s="57" t="s">
        <v>6223</v>
      </c>
      <c r="C88" s="57" t="s">
        <v>6224</v>
      </c>
      <c r="D88" s="57" t="s">
        <v>6225</v>
      </c>
      <c r="E88" s="57" t="s">
        <v>6226</v>
      </c>
      <c r="F88" s="57" t="s">
        <v>5307</v>
      </c>
      <c r="G88" s="57" t="s">
        <v>6227</v>
      </c>
    </row>
    <row r="89" spans="1:7" ht="29.1">
      <c r="A89" s="57">
        <v>63</v>
      </c>
      <c r="B89" s="57" t="s">
        <v>6228</v>
      </c>
      <c r="C89" s="57" t="s">
        <v>6229</v>
      </c>
      <c r="D89" s="57" t="s">
        <v>6230</v>
      </c>
      <c r="E89" s="57" t="s">
        <v>6231</v>
      </c>
      <c r="F89" s="57" t="s">
        <v>6232</v>
      </c>
      <c r="G89" s="57" t="s">
        <v>6233</v>
      </c>
    </row>
  </sheetData>
  <mergeCells count="14">
    <mergeCell ref="A78:G78"/>
    <mergeCell ref="A69:G69"/>
    <mergeCell ref="A31:G31"/>
    <mergeCell ref="A45:G45"/>
    <mergeCell ref="A54:G54"/>
    <mergeCell ref="A55:G55"/>
    <mergeCell ref="A57:G57"/>
    <mergeCell ref="A59:G59"/>
    <mergeCell ref="A22:G22"/>
    <mergeCell ref="A1:G1"/>
    <mergeCell ref="A2:G2"/>
    <mergeCell ref="A4:G4"/>
    <mergeCell ref="D5:G8"/>
    <mergeCell ref="A9:G9"/>
  </mergeCells>
  <pageMargins left="0.7" right="0.7" top="0.75" bottom="0.75" header="0.3" footer="0.3"/>
  <headerFooter>
    <oddFooter>&amp;L_x000D_&amp;1#&amp;"Aptos"&amp;10&amp;K000000 Confidential-Internal</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9DD6E-3DB7-4276-A55E-667FBFD379BD}">
  <dimension ref="B1:G163"/>
  <sheetViews>
    <sheetView workbookViewId="0">
      <selection activeCell="I11" sqref="I11:J11"/>
    </sheetView>
  </sheetViews>
  <sheetFormatPr defaultColWidth="8.7109375" defaultRowHeight="15.6"/>
  <cols>
    <col min="1" max="1" width="8.7109375" style="2"/>
    <col min="2" max="2" width="55.7109375" style="2" customWidth="1"/>
    <col min="3" max="3" width="49.5703125" style="2" customWidth="1"/>
    <col min="4" max="4" width="36.85546875" style="2" customWidth="1"/>
    <col min="5" max="5" width="38.140625" style="2" customWidth="1"/>
    <col min="6" max="6" width="32" style="2" customWidth="1"/>
    <col min="7" max="7" width="20.42578125" style="2" customWidth="1"/>
    <col min="8" max="16384" width="8.7109375" style="2"/>
  </cols>
  <sheetData>
    <row r="1" spans="2:7">
      <c r="B1" s="288"/>
      <c r="C1" s="289" t="s">
        <v>6234</v>
      </c>
      <c r="D1" s="290" t="s">
        <v>6235</v>
      </c>
      <c r="E1" s="290" t="s">
        <v>5685</v>
      </c>
      <c r="F1" s="290" t="s">
        <v>6236</v>
      </c>
      <c r="G1" s="290" t="s">
        <v>6237</v>
      </c>
    </row>
    <row r="2" spans="2:7">
      <c r="B2" s="289" t="s">
        <v>6238</v>
      </c>
      <c r="C2" s="291"/>
      <c r="D2" s="292" t="s">
        <v>1418</v>
      </c>
      <c r="E2" s="292" t="s">
        <v>6239</v>
      </c>
      <c r="F2" s="292" t="s">
        <v>1420</v>
      </c>
      <c r="G2" s="292" t="s">
        <v>6240</v>
      </c>
    </row>
    <row r="3" spans="2:7">
      <c r="B3" s="288"/>
      <c r="C3" s="291" t="s">
        <v>6241</v>
      </c>
      <c r="D3" s="292" t="s">
        <v>1424</v>
      </c>
      <c r="E3" s="292" t="s">
        <v>6242</v>
      </c>
      <c r="F3" s="292" t="s">
        <v>1426</v>
      </c>
      <c r="G3" s="292" t="s">
        <v>1427</v>
      </c>
    </row>
    <row r="4" spans="2:7">
      <c r="B4" s="288"/>
      <c r="C4" s="291" t="s">
        <v>6243</v>
      </c>
      <c r="D4" s="292" t="s">
        <v>1429</v>
      </c>
      <c r="E4" s="292" t="s">
        <v>6244</v>
      </c>
      <c r="F4" s="292" t="s">
        <v>1431</v>
      </c>
      <c r="G4" s="292" t="s">
        <v>1432</v>
      </c>
    </row>
    <row r="5" spans="2:7">
      <c r="B5" s="288"/>
      <c r="C5" s="291" t="s">
        <v>6245</v>
      </c>
      <c r="D5" s="292" t="s">
        <v>1434</v>
      </c>
      <c r="E5" s="292" t="s">
        <v>6246</v>
      </c>
      <c r="F5" s="292" t="s">
        <v>510</v>
      </c>
      <c r="G5" s="292" t="s">
        <v>1436</v>
      </c>
    </row>
    <row r="6" spans="2:7">
      <c r="B6" s="288"/>
      <c r="C6" s="291" t="s">
        <v>6247</v>
      </c>
      <c r="D6" s="292" t="s">
        <v>1437</v>
      </c>
      <c r="E6" s="292" t="s">
        <v>6248</v>
      </c>
      <c r="F6" s="292" t="s">
        <v>1439</v>
      </c>
      <c r="G6" s="292" t="s">
        <v>1440</v>
      </c>
    </row>
    <row r="7" spans="2:7">
      <c r="B7" s="288"/>
      <c r="C7" s="291" t="s">
        <v>6249</v>
      </c>
      <c r="D7" s="292" t="s">
        <v>1441</v>
      </c>
      <c r="E7" s="292" t="s">
        <v>6250</v>
      </c>
      <c r="F7" s="292" t="s">
        <v>1443</v>
      </c>
      <c r="G7" s="292" t="s">
        <v>1444</v>
      </c>
    </row>
    <row r="8" spans="2:7">
      <c r="B8" s="288"/>
      <c r="C8" s="293" t="s">
        <v>6251</v>
      </c>
      <c r="D8" s="292" t="s">
        <v>1445</v>
      </c>
      <c r="E8" s="292" t="s">
        <v>6252</v>
      </c>
      <c r="F8" s="292" t="s">
        <v>1447</v>
      </c>
      <c r="G8" s="292" t="s">
        <v>1448</v>
      </c>
    </row>
    <row r="9" spans="2:7">
      <c r="B9" s="288"/>
      <c r="C9" s="288"/>
      <c r="D9" s="292" t="s">
        <v>1449</v>
      </c>
      <c r="E9" s="292" t="s">
        <v>6253</v>
      </c>
      <c r="F9" s="292" t="s">
        <v>1451</v>
      </c>
      <c r="G9" s="292" t="s">
        <v>1432</v>
      </c>
    </row>
    <row r="10" spans="2:7">
      <c r="B10" s="294"/>
      <c r="C10" s="294"/>
      <c r="D10" s="294"/>
      <c r="E10" s="294"/>
      <c r="F10" s="294"/>
      <c r="G10" s="294"/>
    </row>
    <row r="11" spans="2:7">
      <c r="B11" s="289" t="s">
        <v>6254</v>
      </c>
      <c r="C11" s="289" t="s">
        <v>6234</v>
      </c>
      <c r="D11" s="290" t="s">
        <v>6235</v>
      </c>
      <c r="E11" s="290" t="s">
        <v>5685</v>
      </c>
      <c r="F11" s="288"/>
      <c r="G11" s="290" t="s">
        <v>6237</v>
      </c>
    </row>
    <row r="12" spans="2:7">
      <c r="B12" s="292"/>
      <c r="C12" s="291"/>
      <c r="D12" s="292" t="s">
        <v>1483</v>
      </c>
      <c r="E12" s="292" t="s">
        <v>6255</v>
      </c>
      <c r="F12" s="288"/>
      <c r="G12" s="292" t="s">
        <v>1485</v>
      </c>
    </row>
    <row r="13" spans="2:7">
      <c r="B13" s="288"/>
      <c r="C13" s="291" t="s">
        <v>6256</v>
      </c>
      <c r="D13" s="292" t="s">
        <v>1488</v>
      </c>
      <c r="E13" s="292" t="s">
        <v>6257</v>
      </c>
      <c r="F13" s="288"/>
      <c r="G13" s="292" t="s">
        <v>1490</v>
      </c>
    </row>
    <row r="14" spans="2:7">
      <c r="B14" s="288"/>
      <c r="C14" s="291" t="s">
        <v>6258</v>
      </c>
      <c r="D14" s="292" t="s">
        <v>6259</v>
      </c>
      <c r="E14" s="292" t="s">
        <v>6260</v>
      </c>
      <c r="F14" s="288"/>
      <c r="G14" s="292" t="s">
        <v>1494</v>
      </c>
    </row>
    <row r="15" spans="2:7">
      <c r="B15" s="288"/>
      <c r="C15" s="291" t="s">
        <v>6261</v>
      </c>
      <c r="D15" s="292" t="s">
        <v>6262</v>
      </c>
      <c r="E15" s="292" t="s">
        <v>6263</v>
      </c>
      <c r="F15" s="288"/>
      <c r="G15" s="292" t="s">
        <v>1498</v>
      </c>
    </row>
    <row r="16" spans="2:7">
      <c r="B16" s="288"/>
      <c r="C16" s="291" t="s">
        <v>6264</v>
      </c>
      <c r="D16" s="292" t="s">
        <v>1500</v>
      </c>
      <c r="E16" s="292" t="s">
        <v>6265</v>
      </c>
      <c r="F16" s="288"/>
      <c r="G16" s="292" t="s">
        <v>1498</v>
      </c>
    </row>
    <row r="17" spans="2:7">
      <c r="B17" s="288"/>
      <c r="C17" s="293" t="s">
        <v>6266</v>
      </c>
      <c r="D17" s="288"/>
      <c r="E17" s="288"/>
      <c r="F17" s="288"/>
      <c r="G17" s="288"/>
    </row>
    <row r="18" spans="2:7">
      <c r="B18" s="294"/>
      <c r="C18" s="294"/>
      <c r="D18" s="294"/>
      <c r="E18" s="294"/>
      <c r="F18" s="294"/>
      <c r="G18" s="294"/>
    </row>
    <row r="19" spans="2:7">
      <c r="B19" s="289" t="s">
        <v>6267</v>
      </c>
      <c r="C19" s="289" t="s">
        <v>6234</v>
      </c>
      <c r="D19" s="290" t="s">
        <v>6235</v>
      </c>
      <c r="E19" s="290" t="s">
        <v>5685</v>
      </c>
      <c r="F19" s="290" t="s">
        <v>6237</v>
      </c>
      <c r="G19" s="288"/>
    </row>
    <row r="20" spans="2:7">
      <c r="B20" s="292"/>
      <c r="C20" s="291"/>
      <c r="D20" s="292" t="s">
        <v>1512</v>
      </c>
      <c r="E20" s="292" t="s">
        <v>6268</v>
      </c>
      <c r="F20" s="292" t="s">
        <v>447</v>
      </c>
      <c r="G20" s="288"/>
    </row>
    <row r="21" spans="2:7">
      <c r="B21" s="288"/>
      <c r="C21" s="291" t="s">
        <v>6269</v>
      </c>
      <c r="D21" s="292" t="s">
        <v>1515</v>
      </c>
      <c r="E21" s="292" t="s">
        <v>6270</v>
      </c>
      <c r="F21" s="292" t="s">
        <v>1515</v>
      </c>
      <c r="G21" s="288"/>
    </row>
    <row r="22" spans="2:7">
      <c r="B22" s="288"/>
      <c r="C22" s="291" t="s">
        <v>6271</v>
      </c>
      <c r="D22" s="292" t="s">
        <v>1518</v>
      </c>
      <c r="E22" s="292" t="s">
        <v>6272</v>
      </c>
      <c r="F22" s="292" t="s">
        <v>1520</v>
      </c>
      <c r="G22" s="288"/>
    </row>
    <row r="23" spans="2:7">
      <c r="B23" s="288"/>
      <c r="C23" s="291" t="s">
        <v>6273</v>
      </c>
      <c r="D23" s="292" t="s">
        <v>1522</v>
      </c>
      <c r="E23" s="292" t="s">
        <v>6274</v>
      </c>
      <c r="F23" s="292" t="s">
        <v>1490</v>
      </c>
      <c r="G23" s="288"/>
    </row>
    <row r="24" spans="2:7">
      <c r="B24" s="288"/>
      <c r="C24" s="291" t="s">
        <v>6275</v>
      </c>
      <c r="D24" s="292" t="s">
        <v>1525</v>
      </c>
      <c r="E24" s="292" t="s">
        <v>6253</v>
      </c>
      <c r="F24" s="292" t="s">
        <v>1526</v>
      </c>
      <c r="G24" s="288"/>
    </row>
    <row r="25" spans="2:7">
      <c r="B25" s="288"/>
      <c r="C25" s="293" t="s">
        <v>6276</v>
      </c>
      <c r="D25" s="288"/>
      <c r="E25" s="288"/>
      <c r="F25" s="288"/>
      <c r="G25" s="288"/>
    </row>
    <row r="26" spans="2:7">
      <c r="B26" s="294"/>
      <c r="C26" s="294"/>
      <c r="D26" s="294"/>
      <c r="E26" s="294"/>
      <c r="F26" s="294"/>
      <c r="G26" s="294"/>
    </row>
    <row r="27" spans="2:7">
      <c r="B27" s="289" t="s">
        <v>6277</v>
      </c>
      <c r="C27" s="289" t="s">
        <v>6234</v>
      </c>
      <c r="D27" s="290" t="s">
        <v>6235</v>
      </c>
      <c r="E27" s="290" t="s">
        <v>5685</v>
      </c>
      <c r="F27" s="290" t="s">
        <v>6237</v>
      </c>
      <c r="G27" s="288"/>
    </row>
    <row r="28" spans="2:7">
      <c r="B28" s="292"/>
      <c r="C28" s="291"/>
      <c r="D28" s="292" t="s">
        <v>1536</v>
      </c>
      <c r="E28" s="292" t="s">
        <v>6278</v>
      </c>
      <c r="F28" s="292" t="s">
        <v>1420</v>
      </c>
      <c r="G28" s="288"/>
    </row>
    <row r="29" spans="2:7">
      <c r="B29" s="288"/>
      <c r="C29" s="291" t="s">
        <v>6279</v>
      </c>
      <c r="D29" s="292" t="s">
        <v>1539</v>
      </c>
      <c r="E29" s="292" t="s">
        <v>6280</v>
      </c>
      <c r="F29" s="292" t="s">
        <v>1490</v>
      </c>
      <c r="G29" s="288"/>
    </row>
    <row r="30" spans="2:7">
      <c r="B30" s="288"/>
      <c r="C30" s="291" t="s">
        <v>6281</v>
      </c>
      <c r="D30" s="292" t="s">
        <v>440</v>
      </c>
      <c r="E30" s="292" t="s">
        <v>6282</v>
      </c>
      <c r="F30" s="292" t="s">
        <v>440</v>
      </c>
      <c r="G30" s="288"/>
    </row>
    <row r="31" spans="2:7">
      <c r="B31" s="288"/>
      <c r="C31" s="291" t="s">
        <v>6283</v>
      </c>
      <c r="D31" s="292" t="s">
        <v>1544</v>
      </c>
      <c r="E31" s="292" t="s">
        <v>6284</v>
      </c>
      <c r="F31" s="292" t="s">
        <v>1443</v>
      </c>
      <c r="G31" s="288"/>
    </row>
    <row r="32" spans="2:7">
      <c r="B32" s="288"/>
      <c r="C32" s="291" t="s">
        <v>6285</v>
      </c>
      <c r="D32" s="292" t="s">
        <v>1547</v>
      </c>
      <c r="E32" s="292" t="s">
        <v>6286</v>
      </c>
      <c r="F32" s="292" t="s">
        <v>485</v>
      </c>
      <c r="G32" s="288"/>
    </row>
    <row r="33" spans="2:7">
      <c r="B33" s="288"/>
      <c r="C33" s="293" t="s">
        <v>6287</v>
      </c>
      <c r="D33" s="288"/>
      <c r="E33" s="288"/>
      <c r="F33" s="288"/>
      <c r="G33" s="288"/>
    </row>
    <row r="34" spans="2:7">
      <c r="B34" s="294"/>
      <c r="C34" s="294"/>
      <c r="D34" s="294"/>
      <c r="E34" s="294"/>
      <c r="F34" s="294"/>
      <c r="G34" s="294"/>
    </row>
    <row r="35" spans="2:7">
      <c r="B35" s="289" t="s">
        <v>6288</v>
      </c>
      <c r="C35" s="289" t="s">
        <v>6234</v>
      </c>
      <c r="D35" s="290" t="s">
        <v>6235</v>
      </c>
      <c r="E35" s="290" t="s">
        <v>5685</v>
      </c>
      <c r="F35" s="290" t="s">
        <v>6237</v>
      </c>
      <c r="G35" s="288"/>
    </row>
    <row r="36" spans="2:7">
      <c r="B36" s="292"/>
      <c r="C36" s="291"/>
      <c r="D36" s="292" t="s">
        <v>6289</v>
      </c>
      <c r="E36" s="292" t="s">
        <v>6290</v>
      </c>
      <c r="F36" s="292" t="s">
        <v>1490</v>
      </c>
      <c r="G36" s="288"/>
    </row>
    <row r="37" spans="2:7">
      <c r="B37" s="288"/>
      <c r="C37" s="291" t="s">
        <v>6291</v>
      </c>
      <c r="D37" s="292" t="s">
        <v>1562</v>
      </c>
      <c r="E37" s="292" t="s">
        <v>6292</v>
      </c>
      <c r="F37" s="292" t="s">
        <v>1564</v>
      </c>
      <c r="G37" s="288"/>
    </row>
    <row r="38" spans="2:7">
      <c r="B38" s="288"/>
      <c r="C38" s="291" t="s">
        <v>6293</v>
      </c>
      <c r="D38" s="292" t="s">
        <v>1566</v>
      </c>
      <c r="E38" s="292" t="s">
        <v>6294</v>
      </c>
      <c r="F38" s="292" t="s">
        <v>1568</v>
      </c>
      <c r="G38" s="288"/>
    </row>
    <row r="39" spans="2:7">
      <c r="B39" s="288"/>
      <c r="C39" s="291" t="s">
        <v>6295</v>
      </c>
      <c r="D39" s="292" t="s">
        <v>1570</v>
      </c>
      <c r="E39" s="292" t="s">
        <v>6296</v>
      </c>
      <c r="F39" s="292" t="s">
        <v>1498</v>
      </c>
      <c r="G39" s="288"/>
    </row>
    <row r="40" spans="2:7">
      <c r="B40" s="288"/>
      <c r="C40" s="293" t="s">
        <v>6297</v>
      </c>
      <c r="D40" s="292" t="s">
        <v>1572</v>
      </c>
      <c r="E40" s="292" t="s">
        <v>6298</v>
      </c>
      <c r="F40" s="292" t="s">
        <v>1574</v>
      </c>
      <c r="G40" s="288"/>
    </row>
    <row r="41" spans="2:7">
      <c r="B41" s="294"/>
      <c r="C41" s="294"/>
      <c r="D41" s="294"/>
      <c r="E41" s="294"/>
      <c r="F41" s="294"/>
      <c r="G41" s="294"/>
    </row>
    <row r="42" spans="2:7">
      <c r="B42" s="289" t="s">
        <v>6299</v>
      </c>
      <c r="C42" s="289" t="s">
        <v>6234</v>
      </c>
      <c r="D42" s="290" t="s">
        <v>6235</v>
      </c>
      <c r="E42" s="290" t="s">
        <v>5685</v>
      </c>
      <c r="F42" s="290" t="s">
        <v>6237</v>
      </c>
      <c r="G42" s="288"/>
    </row>
    <row r="43" spans="2:7">
      <c r="B43" s="292"/>
      <c r="C43" s="291"/>
      <c r="D43" s="292" t="s">
        <v>1595</v>
      </c>
      <c r="E43" s="292" t="s">
        <v>6300</v>
      </c>
      <c r="F43" s="292" t="s">
        <v>1597</v>
      </c>
      <c r="G43" s="288"/>
    </row>
    <row r="44" spans="2:7">
      <c r="B44" s="288"/>
      <c r="C44" s="291" t="s">
        <v>6301</v>
      </c>
      <c r="D44" s="292" t="s">
        <v>1599</v>
      </c>
      <c r="E44" s="292" t="s">
        <v>6302</v>
      </c>
      <c r="F44" s="292" t="s">
        <v>1515</v>
      </c>
      <c r="G44" s="288"/>
    </row>
    <row r="45" spans="2:7">
      <c r="B45" s="288"/>
      <c r="C45" s="291" t="s">
        <v>6303</v>
      </c>
      <c r="D45" s="292" t="s">
        <v>1602</v>
      </c>
      <c r="E45" s="292" t="s">
        <v>6304</v>
      </c>
      <c r="F45" s="292" t="s">
        <v>447</v>
      </c>
      <c r="G45" s="288"/>
    </row>
    <row r="46" spans="2:7">
      <c r="B46" s="288"/>
      <c r="C46" s="293" t="s">
        <v>6305</v>
      </c>
      <c r="D46" s="292" t="s">
        <v>1604</v>
      </c>
      <c r="E46" s="292" t="s">
        <v>6306</v>
      </c>
      <c r="F46" s="292" t="s">
        <v>1490</v>
      </c>
      <c r="G46" s="288"/>
    </row>
    <row r="47" spans="2:7">
      <c r="B47" s="294"/>
      <c r="C47" s="294"/>
      <c r="D47" s="294"/>
      <c r="E47" s="294"/>
      <c r="F47" s="294"/>
      <c r="G47" s="294"/>
    </row>
    <row r="48" spans="2:7">
      <c r="B48" s="289" t="s">
        <v>6307</v>
      </c>
      <c r="C48" s="289" t="s">
        <v>6234</v>
      </c>
      <c r="D48" s="290" t="s">
        <v>6235</v>
      </c>
      <c r="E48" s="290" t="s">
        <v>5685</v>
      </c>
      <c r="F48" s="290" t="s">
        <v>6308</v>
      </c>
      <c r="G48" s="288"/>
    </row>
    <row r="49" spans="2:7">
      <c r="B49" s="292"/>
      <c r="C49" s="291"/>
      <c r="D49" s="292" t="s">
        <v>1615</v>
      </c>
      <c r="E49" s="292" t="s">
        <v>6309</v>
      </c>
      <c r="F49" s="292" t="s">
        <v>1617</v>
      </c>
      <c r="G49" s="288"/>
    </row>
    <row r="50" spans="2:7">
      <c r="B50" s="288"/>
      <c r="C50" s="291" t="s">
        <v>6310</v>
      </c>
      <c r="D50" s="292" t="s">
        <v>1619</v>
      </c>
      <c r="E50" s="292" t="s">
        <v>6311</v>
      </c>
      <c r="F50" s="292" t="s">
        <v>1443</v>
      </c>
      <c r="G50" s="288"/>
    </row>
    <row r="51" spans="2:7">
      <c r="B51" s="288"/>
      <c r="C51" s="291" t="s">
        <v>6312</v>
      </c>
      <c r="D51" s="292" t="s">
        <v>1621</v>
      </c>
      <c r="E51" s="292" t="s">
        <v>6313</v>
      </c>
      <c r="F51" s="292" t="s">
        <v>659</v>
      </c>
      <c r="G51" s="288"/>
    </row>
    <row r="52" spans="2:7">
      <c r="B52" s="288"/>
      <c r="C52" s="293" t="s">
        <v>6314</v>
      </c>
      <c r="D52" s="292" t="s">
        <v>1624</v>
      </c>
      <c r="E52" s="292" t="s">
        <v>6315</v>
      </c>
      <c r="F52" s="292" t="s">
        <v>1626</v>
      </c>
      <c r="G52" s="288"/>
    </row>
    <row r="53" spans="2:7">
      <c r="B53" s="288"/>
      <c r="C53" s="288"/>
      <c r="D53" s="292" t="s">
        <v>1628</v>
      </c>
      <c r="E53" s="292" t="s">
        <v>6316</v>
      </c>
      <c r="F53" s="292" t="s">
        <v>1630</v>
      </c>
      <c r="G53" s="288"/>
    </row>
    <row r="54" spans="2:7">
      <c r="B54" s="294"/>
      <c r="C54" s="294"/>
      <c r="D54" s="294"/>
      <c r="E54" s="294"/>
      <c r="F54" s="294"/>
      <c r="G54" s="294"/>
    </row>
    <row r="55" spans="2:7">
      <c r="B55" s="289" t="s">
        <v>6317</v>
      </c>
      <c r="C55" s="289" t="s">
        <v>6234</v>
      </c>
      <c r="D55" s="290" t="s">
        <v>6235</v>
      </c>
      <c r="E55" s="290" t="s">
        <v>5685</v>
      </c>
      <c r="F55" s="290" t="s">
        <v>6308</v>
      </c>
      <c r="G55" s="288"/>
    </row>
    <row r="56" spans="2:7">
      <c r="B56" s="292"/>
      <c r="C56" s="291"/>
      <c r="D56" s="292" t="s">
        <v>1639</v>
      </c>
      <c r="E56" s="292" t="s">
        <v>6318</v>
      </c>
      <c r="F56" s="292" t="s">
        <v>1420</v>
      </c>
      <c r="G56" s="288"/>
    </row>
    <row r="57" spans="2:7">
      <c r="B57" s="288"/>
      <c r="C57" s="291" t="s">
        <v>6319</v>
      </c>
      <c r="D57" s="292" t="s">
        <v>1642</v>
      </c>
      <c r="E57" s="292" t="s">
        <v>6320</v>
      </c>
      <c r="F57" s="292" t="s">
        <v>1644</v>
      </c>
      <c r="G57" s="288"/>
    </row>
    <row r="58" spans="2:7">
      <c r="B58" s="288"/>
      <c r="C58" s="291" t="s">
        <v>6321</v>
      </c>
      <c r="D58" s="292" t="s">
        <v>308</v>
      </c>
      <c r="E58" s="292" t="s">
        <v>6322</v>
      </c>
      <c r="F58" s="292" t="s">
        <v>659</v>
      </c>
      <c r="G58" s="288"/>
    </row>
    <row r="59" spans="2:7">
      <c r="B59" s="288"/>
      <c r="C59" s="293" t="s">
        <v>6323</v>
      </c>
      <c r="D59" s="292" t="s">
        <v>1648</v>
      </c>
      <c r="E59" s="292" t="s">
        <v>6324</v>
      </c>
      <c r="F59" s="292" t="s">
        <v>1650</v>
      </c>
      <c r="G59" s="288"/>
    </row>
    <row r="60" spans="2:7">
      <c r="B60" s="288"/>
      <c r="C60" s="288"/>
      <c r="D60" s="292" t="s">
        <v>1652</v>
      </c>
      <c r="E60" s="292" t="s">
        <v>6325</v>
      </c>
      <c r="F60" s="292" t="s">
        <v>1654</v>
      </c>
      <c r="G60" s="288"/>
    </row>
    <row r="61" spans="2:7">
      <c r="B61" s="294"/>
      <c r="C61" s="294"/>
      <c r="D61" s="294"/>
      <c r="E61" s="294"/>
      <c r="F61" s="294"/>
      <c r="G61" s="294"/>
    </row>
    <row r="62" spans="2:7">
      <c r="B62" s="289" t="s">
        <v>6326</v>
      </c>
      <c r="C62" s="289" t="s">
        <v>6234</v>
      </c>
      <c r="D62" s="290" t="s">
        <v>6235</v>
      </c>
      <c r="E62" s="290" t="s">
        <v>5685</v>
      </c>
      <c r="F62" s="290" t="s">
        <v>6327</v>
      </c>
      <c r="G62" s="288"/>
    </row>
    <row r="63" spans="2:7">
      <c r="B63" s="292"/>
      <c r="C63" s="291"/>
      <c r="D63" s="292" t="s">
        <v>1666</v>
      </c>
      <c r="E63" s="292" t="s">
        <v>6328</v>
      </c>
      <c r="F63" s="292" t="s">
        <v>1667</v>
      </c>
      <c r="G63" s="288"/>
    </row>
    <row r="64" spans="2:7">
      <c r="B64" s="288"/>
      <c r="C64" s="291" t="s">
        <v>6329</v>
      </c>
      <c r="D64" s="292" t="s">
        <v>1668</v>
      </c>
      <c r="E64" s="292" t="s">
        <v>6330</v>
      </c>
      <c r="F64" s="292" t="s">
        <v>1670</v>
      </c>
      <c r="G64" s="288"/>
    </row>
    <row r="65" spans="2:7">
      <c r="B65" s="288"/>
      <c r="C65" s="291" t="s">
        <v>6331</v>
      </c>
      <c r="D65" s="292" t="s">
        <v>1630</v>
      </c>
      <c r="E65" s="292" t="s">
        <v>1672</v>
      </c>
      <c r="F65" s="292" t="s">
        <v>1443</v>
      </c>
      <c r="G65" s="288"/>
    </row>
    <row r="66" spans="2:7">
      <c r="B66" s="288"/>
      <c r="C66" s="291" t="s">
        <v>6332</v>
      </c>
      <c r="D66" s="292" t="s">
        <v>1673</v>
      </c>
      <c r="E66" s="292" t="s">
        <v>6333</v>
      </c>
      <c r="F66" s="292" t="s">
        <v>1675</v>
      </c>
      <c r="G66" s="288"/>
    </row>
    <row r="67" spans="2:7">
      <c r="B67" s="288"/>
      <c r="C67" s="291" t="s">
        <v>6334</v>
      </c>
      <c r="D67" s="292" t="s">
        <v>1677</v>
      </c>
      <c r="E67" s="292" t="s">
        <v>6335</v>
      </c>
      <c r="F67" s="292" t="s">
        <v>1679</v>
      </c>
      <c r="G67" s="288"/>
    </row>
    <row r="68" spans="2:7">
      <c r="B68" s="288"/>
      <c r="C68" s="293" t="s">
        <v>6336</v>
      </c>
      <c r="D68" s="292" t="s">
        <v>1681</v>
      </c>
      <c r="E68" s="292" t="s">
        <v>6337</v>
      </c>
      <c r="F68" s="292" t="s">
        <v>1683</v>
      </c>
      <c r="G68" s="288"/>
    </row>
    <row r="69" spans="2:7">
      <c r="B69" s="288"/>
      <c r="C69" s="288"/>
      <c r="D69" s="292" t="s">
        <v>1685</v>
      </c>
      <c r="E69" s="292" t="s">
        <v>6338</v>
      </c>
      <c r="F69" s="292" t="s">
        <v>1683</v>
      </c>
      <c r="G69" s="288"/>
    </row>
    <row r="70" spans="2:7">
      <c r="B70" s="294"/>
      <c r="C70" s="294"/>
      <c r="D70" s="294"/>
      <c r="E70" s="294"/>
      <c r="F70" s="294"/>
      <c r="G70" s="294"/>
    </row>
    <row r="71" spans="2:7">
      <c r="B71" s="289" t="s">
        <v>6339</v>
      </c>
      <c r="C71" s="289" t="s">
        <v>6234</v>
      </c>
      <c r="D71" s="290" t="s">
        <v>6235</v>
      </c>
      <c r="E71" s="290" t="s">
        <v>5685</v>
      </c>
      <c r="F71" s="290" t="s">
        <v>6237</v>
      </c>
      <c r="G71" s="288"/>
    </row>
    <row r="72" spans="2:7">
      <c r="B72" s="292"/>
      <c r="C72" s="291"/>
      <c r="D72" s="292" t="s">
        <v>1697</v>
      </c>
      <c r="E72" s="292" t="s">
        <v>6340</v>
      </c>
      <c r="F72" s="292" t="s">
        <v>1699</v>
      </c>
      <c r="G72" s="288"/>
    </row>
    <row r="73" spans="2:7">
      <c r="B73" s="288"/>
      <c r="C73" s="291" t="s">
        <v>6341</v>
      </c>
      <c r="D73" s="292" t="s">
        <v>1701</v>
      </c>
      <c r="E73" s="292" t="s">
        <v>6342</v>
      </c>
      <c r="F73" s="292" t="s">
        <v>1644</v>
      </c>
      <c r="G73" s="288"/>
    </row>
    <row r="74" spans="2:7">
      <c r="B74" s="288"/>
      <c r="C74" s="291" t="s">
        <v>6343</v>
      </c>
      <c r="D74" s="292" t="s">
        <v>1704</v>
      </c>
      <c r="E74" s="292" t="s">
        <v>6344</v>
      </c>
      <c r="F74" s="292" t="s">
        <v>1490</v>
      </c>
      <c r="G74" s="288"/>
    </row>
    <row r="75" spans="2:7">
      <c r="B75" s="288"/>
      <c r="C75" s="291" t="s">
        <v>6345</v>
      </c>
      <c r="D75" s="292" t="s">
        <v>1707</v>
      </c>
      <c r="E75" s="292" t="s">
        <v>6346</v>
      </c>
      <c r="F75" s="292" t="s">
        <v>1699</v>
      </c>
      <c r="G75" s="288"/>
    </row>
    <row r="76" spans="2:7">
      <c r="B76" s="288"/>
      <c r="C76" s="293" t="s">
        <v>6347</v>
      </c>
      <c r="D76" s="292" t="s">
        <v>1710</v>
      </c>
      <c r="E76" s="292" t="s">
        <v>6348</v>
      </c>
      <c r="F76" s="292" t="s">
        <v>1679</v>
      </c>
      <c r="G76" s="288"/>
    </row>
    <row r="77" spans="2:7">
      <c r="B77" s="294"/>
      <c r="C77" s="294"/>
      <c r="D77" s="294"/>
      <c r="E77" s="294"/>
      <c r="F77" s="294"/>
      <c r="G77" s="294"/>
    </row>
    <row r="78" spans="2:7">
      <c r="B78" s="289" t="s">
        <v>6349</v>
      </c>
      <c r="C78" s="289" t="s">
        <v>6234</v>
      </c>
      <c r="D78" s="290" t="s">
        <v>6235</v>
      </c>
      <c r="E78" s="290" t="s">
        <v>5685</v>
      </c>
      <c r="F78" s="290" t="s">
        <v>6308</v>
      </c>
      <c r="G78" s="288"/>
    </row>
    <row r="79" spans="2:7">
      <c r="B79" s="292"/>
      <c r="C79" s="291"/>
      <c r="D79" s="292" t="s">
        <v>1721</v>
      </c>
      <c r="E79" s="292" t="s">
        <v>6350</v>
      </c>
      <c r="F79" s="292" t="s">
        <v>1683</v>
      </c>
      <c r="G79" s="288"/>
    </row>
    <row r="80" spans="2:7">
      <c r="B80" s="288"/>
      <c r="C80" s="291" t="s">
        <v>6351</v>
      </c>
      <c r="D80" s="292" t="s">
        <v>1724</v>
      </c>
      <c r="E80" s="292" t="s">
        <v>6352</v>
      </c>
      <c r="F80" s="292" t="s">
        <v>1726</v>
      </c>
      <c r="G80" s="288"/>
    </row>
    <row r="81" spans="2:7">
      <c r="B81" s="288"/>
      <c r="C81" s="291" t="s">
        <v>6353</v>
      </c>
      <c r="D81" s="292" t="s">
        <v>1728</v>
      </c>
      <c r="E81" s="292" t="s">
        <v>6354</v>
      </c>
      <c r="F81" s="292" t="s">
        <v>1683</v>
      </c>
      <c r="G81" s="288"/>
    </row>
    <row r="82" spans="2:7">
      <c r="B82" s="288"/>
      <c r="C82" s="291" t="s">
        <v>6355</v>
      </c>
      <c r="D82" s="292" t="s">
        <v>1731</v>
      </c>
      <c r="E82" s="292" t="s">
        <v>6356</v>
      </c>
      <c r="F82" s="292" t="s">
        <v>1733</v>
      </c>
      <c r="G82" s="288"/>
    </row>
    <row r="83" spans="2:7">
      <c r="B83" s="288"/>
      <c r="C83" s="293" t="s">
        <v>6357</v>
      </c>
      <c r="D83" s="288"/>
      <c r="E83" s="288"/>
      <c r="F83" s="288"/>
      <c r="G83" s="288"/>
    </row>
    <row r="84" spans="2:7">
      <c r="B84" s="294"/>
      <c r="C84" s="294"/>
      <c r="D84" s="294"/>
      <c r="E84" s="294"/>
      <c r="F84" s="294"/>
      <c r="G84" s="294"/>
    </row>
    <row r="85" spans="2:7">
      <c r="B85" s="289" t="s">
        <v>6358</v>
      </c>
      <c r="C85" s="289" t="s">
        <v>6234</v>
      </c>
      <c r="D85" s="290" t="s">
        <v>6235</v>
      </c>
      <c r="E85" s="290" t="s">
        <v>5685</v>
      </c>
      <c r="F85" s="290" t="s">
        <v>6308</v>
      </c>
      <c r="G85" s="288"/>
    </row>
    <row r="86" spans="2:7" ht="46.5">
      <c r="B86" s="288"/>
      <c r="C86" s="295" t="s">
        <v>6359</v>
      </c>
      <c r="D86" s="296" t="s">
        <v>1745</v>
      </c>
      <c r="E86" s="296" t="s">
        <v>1746</v>
      </c>
      <c r="F86" s="296" t="s">
        <v>1747</v>
      </c>
      <c r="G86" s="288"/>
    </row>
    <row r="87" spans="2:7" ht="30.95">
      <c r="B87" s="288"/>
      <c r="C87" s="295" t="s">
        <v>6360</v>
      </c>
      <c r="D87" s="296" t="s">
        <v>1749</v>
      </c>
      <c r="E87" s="296" t="s">
        <v>1750</v>
      </c>
      <c r="F87" s="296" t="s">
        <v>1751</v>
      </c>
      <c r="G87" s="288"/>
    </row>
    <row r="88" spans="2:7" ht="30.95">
      <c r="B88" s="288"/>
      <c r="C88" s="295" t="s">
        <v>6361</v>
      </c>
      <c r="D88" s="296" t="s">
        <v>1753</v>
      </c>
      <c r="E88" s="296" t="s">
        <v>1754</v>
      </c>
      <c r="F88" s="296" t="s">
        <v>1755</v>
      </c>
      <c r="G88" s="288"/>
    </row>
    <row r="89" spans="2:7" ht="30.95">
      <c r="B89" s="288"/>
      <c r="C89" s="295" t="s">
        <v>6362</v>
      </c>
      <c r="D89" s="296" t="s">
        <v>1757</v>
      </c>
      <c r="E89" s="296" t="s">
        <v>1758</v>
      </c>
      <c r="F89" s="296" t="s">
        <v>1759</v>
      </c>
      <c r="G89" s="288"/>
    </row>
    <row r="90" spans="2:7" ht="30.95">
      <c r="B90" s="288"/>
      <c r="C90" s="295" t="s">
        <v>6363</v>
      </c>
      <c r="D90" s="296" t="s">
        <v>1761</v>
      </c>
      <c r="E90" s="296" t="s">
        <v>1762</v>
      </c>
      <c r="F90" s="296" t="s">
        <v>1763</v>
      </c>
      <c r="G90" s="288"/>
    </row>
    <row r="91" spans="2:7" ht="30.95">
      <c r="B91" s="288"/>
      <c r="C91" s="295" t="s">
        <v>6364</v>
      </c>
      <c r="D91" s="296" t="s">
        <v>1765</v>
      </c>
      <c r="E91" s="296" t="s">
        <v>1766</v>
      </c>
      <c r="F91" s="296" t="s">
        <v>1767</v>
      </c>
      <c r="G91" s="288"/>
    </row>
    <row r="92" spans="2:7" ht="30.95">
      <c r="B92" s="288"/>
      <c r="C92" s="295" t="s">
        <v>6365</v>
      </c>
      <c r="D92" s="296" t="s">
        <v>1769</v>
      </c>
      <c r="E92" s="296" t="s">
        <v>1770</v>
      </c>
      <c r="F92" s="296" t="s">
        <v>1771</v>
      </c>
      <c r="G92" s="288"/>
    </row>
    <row r="93" spans="2:7" ht="30.95">
      <c r="B93" s="288"/>
      <c r="C93" s="295" t="s">
        <v>6366</v>
      </c>
      <c r="D93" s="296" t="s">
        <v>1773</v>
      </c>
      <c r="E93" s="296" t="s">
        <v>1774</v>
      </c>
      <c r="F93" s="296" t="s">
        <v>1775</v>
      </c>
      <c r="G93" s="288"/>
    </row>
    <row r="94" spans="2:7">
      <c r="B94" s="294"/>
      <c r="C94" s="294"/>
      <c r="D94" s="294"/>
      <c r="E94" s="294"/>
      <c r="F94" s="294"/>
      <c r="G94" s="294"/>
    </row>
    <row r="95" spans="2:7">
      <c r="B95" s="289" t="s">
        <v>6367</v>
      </c>
      <c r="C95" s="289" t="s">
        <v>6234</v>
      </c>
      <c r="D95" s="290" t="s">
        <v>6235</v>
      </c>
      <c r="E95" s="290" t="s">
        <v>5685</v>
      </c>
      <c r="F95" s="290" t="s">
        <v>6308</v>
      </c>
      <c r="G95" s="288"/>
    </row>
    <row r="96" spans="2:7" ht="30.95">
      <c r="B96" s="288"/>
      <c r="C96" s="295" t="s">
        <v>6368</v>
      </c>
      <c r="D96" s="296" t="s">
        <v>1795</v>
      </c>
      <c r="E96" s="296" t="s">
        <v>1796</v>
      </c>
      <c r="F96" s="296" t="s">
        <v>1797</v>
      </c>
      <c r="G96" s="288"/>
    </row>
    <row r="97" spans="2:7" ht="30.95">
      <c r="B97" s="288"/>
      <c r="C97" s="295" t="s">
        <v>6369</v>
      </c>
      <c r="D97" s="296" t="s">
        <v>1799</v>
      </c>
      <c r="E97" s="296" t="s">
        <v>1800</v>
      </c>
      <c r="F97" s="296" t="s">
        <v>1755</v>
      </c>
      <c r="G97" s="288"/>
    </row>
    <row r="98" spans="2:7" ht="30.95">
      <c r="B98" s="288"/>
      <c r="C98" s="295" t="s">
        <v>6370</v>
      </c>
      <c r="D98" s="296" t="s">
        <v>1801</v>
      </c>
      <c r="E98" s="296" t="s">
        <v>1802</v>
      </c>
      <c r="F98" s="296" t="s">
        <v>1803</v>
      </c>
      <c r="G98" s="288"/>
    </row>
    <row r="99" spans="2:7" ht="30.95">
      <c r="B99" s="288"/>
      <c r="C99" s="295" t="s">
        <v>6371</v>
      </c>
      <c r="D99" s="296" t="s">
        <v>1805</v>
      </c>
      <c r="E99" s="296" t="s">
        <v>1806</v>
      </c>
      <c r="F99" s="296" t="s">
        <v>1807</v>
      </c>
      <c r="G99" s="288"/>
    </row>
    <row r="100" spans="2:7" ht="30.95">
      <c r="B100" s="288"/>
      <c r="C100" s="295" t="s">
        <v>6372</v>
      </c>
      <c r="D100" s="296" t="s">
        <v>1809</v>
      </c>
      <c r="E100" s="296" t="s">
        <v>1810</v>
      </c>
      <c r="F100" s="296" t="s">
        <v>1811</v>
      </c>
      <c r="G100" s="288"/>
    </row>
    <row r="101" spans="2:7" ht="30.95">
      <c r="B101" s="289"/>
      <c r="C101" s="295" t="s">
        <v>6373</v>
      </c>
      <c r="D101" s="296" t="s">
        <v>1813</v>
      </c>
      <c r="E101" s="296" t="s">
        <v>1814</v>
      </c>
      <c r="F101" s="296" t="s">
        <v>1815</v>
      </c>
      <c r="G101" s="288"/>
    </row>
    <row r="102" spans="2:7" ht="30.95">
      <c r="B102" s="288"/>
      <c r="C102" s="295" t="s">
        <v>6374</v>
      </c>
      <c r="D102" s="296" t="s">
        <v>1817</v>
      </c>
      <c r="E102" s="296" t="s">
        <v>1818</v>
      </c>
      <c r="F102" s="296" t="s">
        <v>1819</v>
      </c>
      <c r="G102" s="288"/>
    </row>
    <row r="103" spans="2:7">
      <c r="B103" s="294"/>
      <c r="C103" s="294"/>
      <c r="D103" s="294"/>
      <c r="E103" s="294"/>
      <c r="F103" s="294"/>
      <c r="G103" s="294"/>
    </row>
    <row r="104" spans="2:7">
      <c r="B104" s="289" t="s">
        <v>6375</v>
      </c>
      <c r="C104" s="289" t="s">
        <v>6234</v>
      </c>
      <c r="D104" s="290" t="s">
        <v>6235</v>
      </c>
      <c r="E104" s="290" t="s">
        <v>5685</v>
      </c>
      <c r="F104" s="290" t="s">
        <v>6308</v>
      </c>
      <c r="G104" s="288"/>
    </row>
    <row r="105" spans="2:7" ht="30.95">
      <c r="B105" s="288"/>
      <c r="C105" s="295" t="s">
        <v>6376</v>
      </c>
      <c r="D105" s="296" t="s">
        <v>1838</v>
      </c>
      <c r="E105" s="296" t="s">
        <v>1839</v>
      </c>
      <c r="F105" s="296" t="s">
        <v>1840</v>
      </c>
      <c r="G105" s="288"/>
    </row>
    <row r="106" spans="2:7" ht="30.95">
      <c r="B106" s="288"/>
      <c r="C106" s="295" t="s">
        <v>6377</v>
      </c>
      <c r="D106" s="296" t="s">
        <v>1842</v>
      </c>
      <c r="E106" s="296" t="s">
        <v>1843</v>
      </c>
      <c r="F106" s="296" t="s">
        <v>1844</v>
      </c>
      <c r="G106" s="288"/>
    </row>
    <row r="107" spans="2:7" ht="30.95">
      <c r="B107" s="288"/>
      <c r="C107" s="295" t="s">
        <v>6378</v>
      </c>
      <c r="D107" s="296" t="s">
        <v>1846</v>
      </c>
      <c r="E107" s="296" t="s">
        <v>1847</v>
      </c>
      <c r="F107" s="296" t="s">
        <v>1848</v>
      </c>
      <c r="G107" s="288"/>
    </row>
    <row r="108" spans="2:7" ht="30.95">
      <c r="B108" s="288"/>
      <c r="C108" s="295" t="s">
        <v>6379</v>
      </c>
      <c r="D108" s="296" t="s">
        <v>1850</v>
      </c>
      <c r="E108" s="296" t="s">
        <v>1851</v>
      </c>
      <c r="F108" s="296" t="s">
        <v>1443</v>
      </c>
      <c r="G108" s="288"/>
    </row>
    <row r="109" spans="2:7" ht="30.95">
      <c r="B109" s="288"/>
      <c r="C109" s="295" t="s">
        <v>6380</v>
      </c>
      <c r="D109" s="296" t="s">
        <v>1853</v>
      </c>
      <c r="E109" s="296" t="s">
        <v>1854</v>
      </c>
      <c r="F109" s="296" t="s">
        <v>1855</v>
      </c>
      <c r="G109" s="288"/>
    </row>
    <row r="110" spans="2:7" ht="30.95">
      <c r="B110" s="288"/>
      <c r="C110" s="295" t="s">
        <v>6381</v>
      </c>
      <c r="D110" s="296" t="s">
        <v>1857</v>
      </c>
      <c r="E110" s="296" t="s">
        <v>1858</v>
      </c>
      <c r="F110" s="296" t="s">
        <v>1859</v>
      </c>
      <c r="G110" s="288"/>
    </row>
    <row r="111" spans="2:7" ht="30.95">
      <c r="B111" s="288"/>
      <c r="C111" s="295" t="s">
        <v>6382</v>
      </c>
      <c r="D111" s="296" t="s">
        <v>1861</v>
      </c>
      <c r="E111" s="296" t="s">
        <v>1862</v>
      </c>
      <c r="F111" s="296" t="s">
        <v>1863</v>
      </c>
      <c r="G111" s="288"/>
    </row>
    <row r="112" spans="2:7">
      <c r="B112" s="294"/>
      <c r="C112" s="294"/>
      <c r="D112" s="294"/>
      <c r="E112" s="294"/>
      <c r="F112" s="294"/>
      <c r="G112" s="294"/>
    </row>
    <row r="113" spans="2:7">
      <c r="B113" s="289" t="s">
        <v>6383</v>
      </c>
      <c r="C113" s="289" t="s">
        <v>6234</v>
      </c>
      <c r="D113" s="290" t="s">
        <v>6235</v>
      </c>
      <c r="E113" s="290" t="s">
        <v>5685</v>
      </c>
      <c r="F113" s="290" t="s">
        <v>6308</v>
      </c>
      <c r="G113" s="288"/>
    </row>
    <row r="114" spans="2:7" ht="30.95">
      <c r="B114" s="288"/>
      <c r="C114" s="295" t="s">
        <v>6384</v>
      </c>
      <c r="D114" s="296" t="s">
        <v>1882</v>
      </c>
      <c r="E114" s="296" t="s">
        <v>1883</v>
      </c>
      <c r="F114" s="296" t="s">
        <v>1884</v>
      </c>
      <c r="G114" s="288"/>
    </row>
    <row r="115" spans="2:7" ht="30.95">
      <c r="B115" s="288"/>
      <c r="C115" s="295" t="s">
        <v>6385</v>
      </c>
      <c r="D115" s="296" t="s">
        <v>1886</v>
      </c>
      <c r="E115" s="296" t="s">
        <v>1887</v>
      </c>
      <c r="F115" s="296" t="s">
        <v>1755</v>
      </c>
      <c r="G115" s="288"/>
    </row>
    <row r="116" spans="2:7" ht="30.95">
      <c r="B116" s="288"/>
      <c r="C116" s="295" t="s">
        <v>6386</v>
      </c>
      <c r="D116" s="296" t="s">
        <v>1888</v>
      </c>
      <c r="E116" s="296" t="s">
        <v>1889</v>
      </c>
      <c r="F116" s="296" t="s">
        <v>1890</v>
      </c>
      <c r="G116" s="288"/>
    </row>
    <row r="117" spans="2:7" ht="30.95">
      <c r="B117" s="288"/>
      <c r="C117" s="295" t="s">
        <v>6387</v>
      </c>
      <c r="D117" s="296" t="s">
        <v>1892</v>
      </c>
      <c r="E117" s="296" t="s">
        <v>1893</v>
      </c>
      <c r="F117" s="296" t="s">
        <v>481</v>
      </c>
      <c r="G117" s="288"/>
    </row>
    <row r="118" spans="2:7" ht="30.95">
      <c r="B118" s="289"/>
      <c r="C118" s="295" t="s">
        <v>6388</v>
      </c>
      <c r="D118" s="296" t="s">
        <v>1895</v>
      </c>
      <c r="E118" s="296" t="s">
        <v>1896</v>
      </c>
      <c r="F118" s="296" t="s">
        <v>1897</v>
      </c>
      <c r="G118" s="288"/>
    </row>
    <row r="119" spans="2:7" ht="30.95">
      <c r="B119" s="288"/>
      <c r="C119" s="295" t="s">
        <v>6389</v>
      </c>
      <c r="D119" s="296" t="s">
        <v>1899</v>
      </c>
      <c r="E119" s="296" t="s">
        <v>1900</v>
      </c>
      <c r="F119" s="296" t="s">
        <v>1443</v>
      </c>
      <c r="G119" s="288"/>
    </row>
    <row r="120" spans="2:7" ht="30.95">
      <c r="B120" s="288"/>
      <c r="C120" s="295" t="s">
        <v>6390</v>
      </c>
      <c r="D120" s="296" t="s">
        <v>1901</v>
      </c>
      <c r="E120" s="296" t="s">
        <v>1902</v>
      </c>
      <c r="F120" s="296" t="s">
        <v>1903</v>
      </c>
      <c r="G120" s="288"/>
    </row>
    <row r="121" spans="2:7" ht="30.95">
      <c r="B121" s="288"/>
      <c r="C121" s="295" t="s">
        <v>6391</v>
      </c>
      <c r="D121" s="296" t="s">
        <v>1905</v>
      </c>
      <c r="E121" s="296" t="s">
        <v>1906</v>
      </c>
      <c r="F121" s="296" t="s">
        <v>1907</v>
      </c>
      <c r="G121" s="288"/>
    </row>
    <row r="122" spans="2:7" ht="30.95">
      <c r="B122" s="288"/>
      <c r="C122" s="295" t="s">
        <v>6392</v>
      </c>
      <c r="D122" s="296" t="s">
        <v>1909</v>
      </c>
      <c r="E122" s="296" t="s">
        <v>1910</v>
      </c>
      <c r="F122" s="296" t="s">
        <v>1911</v>
      </c>
      <c r="G122" s="288"/>
    </row>
    <row r="123" spans="2:7" ht="30.95">
      <c r="B123" s="288"/>
      <c r="C123" s="295" t="s">
        <v>6393</v>
      </c>
      <c r="D123" s="296" t="s">
        <v>1525</v>
      </c>
      <c r="E123" s="296" t="s">
        <v>1913</v>
      </c>
      <c r="F123" s="296" t="s">
        <v>1914</v>
      </c>
      <c r="G123" s="288"/>
    </row>
    <row r="124" spans="2:7">
      <c r="B124" s="294"/>
      <c r="C124" s="294"/>
      <c r="D124" s="294"/>
      <c r="E124" s="294"/>
      <c r="F124" s="294"/>
      <c r="G124" s="294"/>
    </row>
    <row r="125" spans="2:7">
      <c r="B125" s="289" t="s">
        <v>6394</v>
      </c>
      <c r="C125" s="289" t="s">
        <v>6234</v>
      </c>
      <c r="D125" s="290" t="s">
        <v>6235</v>
      </c>
      <c r="E125" s="290" t="s">
        <v>5685</v>
      </c>
      <c r="F125" s="290" t="s">
        <v>6308</v>
      </c>
      <c r="G125" s="288"/>
    </row>
    <row r="126" spans="2:7" ht="30.95">
      <c r="B126" s="288"/>
      <c r="C126" s="295" t="s">
        <v>6395</v>
      </c>
      <c r="D126" s="296" t="s">
        <v>1933</v>
      </c>
      <c r="E126" s="296" t="s">
        <v>1934</v>
      </c>
      <c r="F126" s="296" t="s">
        <v>1935</v>
      </c>
      <c r="G126" s="288"/>
    </row>
    <row r="127" spans="2:7" ht="30.95">
      <c r="B127" s="288"/>
      <c r="C127" s="295" t="s">
        <v>6396</v>
      </c>
      <c r="D127" s="296" t="s">
        <v>1937</v>
      </c>
      <c r="E127" s="296" t="s">
        <v>1938</v>
      </c>
      <c r="F127" s="296" t="s">
        <v>1939</v>
      </c>
      <c r="G127" s="288"/>
    </row>
    <row r="128" spans="2:7" ht="30.95">
      <c r="B128" s="288"/>
      <c r="C128" s="295" t="s">
        <v>6397</v>
      </c>
      <c r="D128" s="296" t="s">
        <v>1941</v>
      </c>
      <c r="E128" s="296" t="s">
        <v>1942</v>
      </c>
      <c r="F128" s="296" t="s">
        <v>1943</v>
      </c>
      <c r="G128" s="288"/>
    </row>
    <row r="129" spans="2:7" ht="30.95">
      <c r="B129" s="288"/>
      <c r="C129" s="295" t="s">
        <v>6398</v>
      </c>
      <c r="D129" s="296" t="s">
        <v>1945</v>
      </c>
      <c r="E129" s="296" t="s">
        <v>1946</v>
      </c>
      <c r="F129" s="296" t="s">
        <v>271</v>
      </c>
      <c r="G129" s="288"/>
    </row>
    <row r="130" spans="2:7" ht="30.95">
      <c r="B130" s="288"/>
      <c r="C130" s="295" t="s">
        <v>6399</v>
      </c>
      <c r="D130" s="296" t="s">
        <v>1948</v>
      </c>
      <c r="E130" s="296" t="s">
        <v>1949</v>
      </c>
      <c r="F130" s="296" t="s">
        <v>1950</v>
      </c>
      <c r="G130" s="288"/>
    </row>
    <row r="131" spans="2:7" ht="30.95">
      <c r="B131" s="288"/>
      <c r="C131" s="295" t="s">
        <v>6400</v>
      </c>
      <c r="D131" s="296" t="s">
        <v>1952</v>
      </c>
      <c r="E131" s="296" t="s">
        <v>1953</v>
      </c>
      <c r="F131" s="296" t="s">
        <v>1954</v>
      </c>
      <c r="G131" s="288"/>
    </row>
    <row r="132" spans="2:7">
      <c r="B132" s="289" t="s">
        <v>6401</v>
      </c>
      <c r="C132" s="288"/>
      <c r="D132" s="288"/>
      <c r="E132" s="288"/>
      <c r="F132" s="288"/>
      <c r="G132" s="288"/>
    </row>
    <row r="133" spans="2:7">
      <c r="B133" s="292"/>
      <c r="C133" s="288"/>
      <c r="D133" s="288"/>
      <c r="E133" s="288"/>
      <c r="F133" s="288"/>
      <c r="G133" s="288"/>
    </row>
    <row r="134" spans="2:7">
      <c r="B134" s="290" t="s">
        <v>6402</v>
      </c>
      <c r="C134" s="290" t="s">
        <v>6403</v>
      </c>
      <c r="D134" s="288"/>
      <c r="E134" s="288"/>
      <c r="F134" s="288"/>
      <c r="G134" s="288"/>
    </row>
    <row r="135" spans="2:7">
      <c r="B135" s="292" t="s">
        <v>6404</v>
      </c>
      <c r="C135" s="297">
        <v>0.2</v>
      </c>
      <c r="D135" s="288"/>
      <c r="E135" s="288"/>
      <c r="F135" s="288"/>
      <c r="G135" s="288"/>
    </row>
    <row r="136" spans="2:7">
      <c r="B136" s="292" t="s">
        <v>6405</v>
      </c>
      <c r="C136" s="297">
        <v>0.25</v>
      </c>
      <c r="D136" s="288"/>
      <c r="E136" s="288"/>
      <c r="F136" s="288"/>
      <c r="G136" s="288"/>
    </row>
    <row r="137" spans="2:7">
      <c r="B137" s="292" t="s">
        <v>1443</v>
      </c>
      <c r="C137" s="297">
        <v>0.2</v>
      </c>
      <c r="D137" s="288"/>
      <c r="E137" s="288"/>
      <c r="F137" s="288"/>
      <c r="G137" s="288"/>
    </row>
    <row r="138" spans="2:7">
      <c r="B138" s="292" t="s">
        <v>4331</v>
      </c>
      <c r="C138" s="297">
        <v>0.2</v>
      </c>
      <c r="D138" s="288"/>
      <c r="E138" s="288"/>
      <c r="F138" s="288"/>
      <c r="G138" s="288"/>
    </row>
    <row r="139" spans="2:7">
      <c r="B139" s="292" t="s">
        <v>6406</v>
      </c>
      <c r="C139" s="297">
        <v>0.15</v>
      </c>
      <c r="D139" s="288"/>
      <c r="E139" s="288"/>
      <c r="F139" s="288"/>
      <c r="G139" s="288"/>
    </row>
    <row r="140" spans="2:7">
      <c r="B140" s="292"/>
      <c r="C140" s="288"/>
      <c r="D140" s="288"/>
      <c r="E140" s="288"/>
      <c r="F140" s="288"/>
      <c r="G140" s="288"/>
    </row>
    <row r="141" spans="2:7">
      <c r="B141" s="289" t="s">
        <v>6407</v>
      </c>
      <c r="C141" s="288"/>
      <c r="D141" s="288"/>
      <c r="E141" s="288"/>
      <c r="F141" s="288"/>
      <c r="G141" s="288"/>
    </row>
    <row r="142" spans="2:7">
      <c r="B142" s="292"/>
      <c r="C142" s="288"/>
      <c r="D142" s="288"/>
      <c r="E142" s="288"/>
      <c r="F142" s="288"/>
      <c r="G142" s="288"/>
    </row>
    <row r="143" spans="2:7">
      <c r="B143" s="290" t="s">
        <v>6408</v>
      </c>
      <c r="C143" s="290" t="s">
        <v>6409</v>
      </c>
      <c r="D143" s="288"/>
      <c r="E143" s="288"/>
      <c r="F143" s="288"/>
      <c r="G143" s="288"/>
    </row>
    <row r="144" spans="2:7">
      <c r="B144" s="292" t="s">
        <v>4331</v>
      </c>
      <c r="C144" s="297">
        <v>0.3</v>
      </c>
      <c r="D144" s="288"/>
      <c r="E144" s="288"/>
      <c r="F144" s="288"/>
      <c r="G144" s="288"/>
    </row>
    <row r="145" spans="2:7">
      <c r="B145" s="292" t="s">
        <v>6410</v>
      </c>
      <c r="C145" s="297">
        <v>0.25</v>
      </c>
      <c r="D145" s="288"/>
      <c r="E145" s="288"/>
      <c r="F145" s="288"/>
      <c r="G145" s="288"/>
    </row>
    <row r="146" spans="2:7">
      <c r="B146" s="292" t="s">
        <v>1630</v>
      </c>
      <c r="C146" s="297">
        <v>0.15</v>
      </c>
      <c r="D146" s="288"/>
      <c r="E146" s="288"/>
      <c r="F146" s="288"/>
      <c r="G146" s="288"/>
    </row>
    <row r="147" spans="2:7">
      <c r="B147" s="292" t="s">
        <v>6411</v>
      </c>
      <c r="C147" s="297">
        <v>0.15</v>
      </c>
      <c r="D147" s="288"/>
      <c r="E147" s="288"/>
      <c r="F147" s="288"/>
      <c r="G147" s="288"/>
    </row>
    <row r="148" spans="2:7">
      <c r="B148" s="292" t="s">
        <v>6412</v>
      </c>
      <c r="C148" s="297">
        <v>0.1</v>
      </c>
      <c r="D148" s="288"/>
      <c r="E148" s="288"/>
      <c r="F148" s="288"/>
      <c r="G148" s="288"/>
    </row>
    <row r="149" spans="2:7">
      <c r="B149" s="292" t="s">
        <v>1679</v>
      </c>
      <c r="C149" s="297">
        <v>0.05</v>
      </c>
      <c r="D149" s="288"/>
      <c r="E149" s="288"/>
      <c r="F149" s="288"/>
      <c r="G149" s="288"/>
    </row>
    <row r="150" spans="2:7">
      <c r="B150" s="292"/>
      <c r="C150" s="288"/>
      <c r="D150" s="288"/>
      <c r="E150" s="288"/>
      <c r="F150" s="288"/>
      <c r="G150" s="288"/>
    </row>
    <row r="151" spans="2:7">
      <c r="B151" s="289" t="s">
        <v>6413</v>
      </c>
      <c r="C151" s="288"/>
      <c r="D151" s="288"/>
      <c r="E151" s="288"/>
      <c r="F151" s="288"/>
      <c r="G151" s="288"/>
    </row>
    <row r="152" spans="2:7">
      <c r="B152" s="292"/>
      <c r="C152" s="288"/>
      <c r="D152" s="288"/>
      <c r="E152" s="288"/>
      <c r="F152" s="288"/>
      <c r="G152" s="288"/>
    </row>
    <row r="153" spans="2:7">
      <c r="B153" s="290" t="s">
        <v>5842</v>
      </c>
      <c r="C153" s="290" t="s">
        <v>6414</v>
      </c>
      <c r="D153" s="290" t="s">
        <v>6415</v>
      </c>
      <c r="E153" s="288"/>
      <c r="F153" s="288"/>
      <c r="G153" s="288"/>
    </row>
    <row r="154" spans="2:7">
      <c r="B154" s="292" t="s">
        <v>5844</v>
      </c>
      <c r="C154" s="292" t="s">
        <v>5661</v>
      </c>
      <c r="D154" s="292" t="s">
        <v>6416</v>
      </c>
      <c r="E154" s="288"/>
      <c r="F154" s="288"/>
      <c r="G154" s="288"/>
    </row>
    <row r="155" spans="2:7">
      <c r="B155" s="292" t="s">
        <v>6417</v>
      </c>
      <c r="C155" s="292" t="s">
        <v>1322</v>
      </c>
      <c r="D155" s="292" t="s">
        <v>6418</v>
      </c>
      <c r="E155" s="288"/>
      <c r="F155" s="288"/>
      <c r="G155" s="288"/>
    </row>
    <row r="156" spans="2:7">
      <c r="B156" s="292" t="s">
        <v>5848</v>
      </c>
      <c r="C156" s="292" t="s">
        <v>1308</v>
      </c>
      <c r="D156" s="292" t="s">
        <v>6419</v>
      </c>
      <c r="E156" s="288"/>
      <c r="F156" s="288"/>
      <c r="G156" s="288"/>
    </row>
    <row r="157" spans="2:7">
      <c r="B157" s="292" t="s">
        <v>5850</v>
      </c>
      <c r="C157" s="292" t="s">
        <v>6420</v>
      </c>
      <c r="D157" s="292" t="s">
        <v>6421</v>
      </c>
      <c r="E157" s="288"/>
      <c r="F157" s="288"/>
      <c r="G157" s="288"/>
    </row>
    <row r="158" spans="2:7">
      <c r="B158" s="292" t="s">
        <v>1733</v>
      </c>
      <c r="C158" s="292" t="s">
        <v>1315</v>
      </c>
      <c r="D158" s="292" t="s">
        <v>6422</v>
      </c>
      <c r="E158" s="288"/>
      <c r="F158" s="288"/>
      <c r="G158" s="288"/>
    </row>
    <row r="159" spans="2:7">
      <c r="B159" s="292" t="s">
        <v>6423</v>
      </c>
      <c r="C159" s="292" t="s">
        <v>1315</v>
      </c>
      <c r="D159" s="292" t="s">
        <v>6424</v>
      </c>
      <c r="E159" s="288"/>
      <c r="F159" s="288"/>
      <c r="G159" s="288"/>
    </row>
    <row r="160" spans="2:7">
      <c r="B160" s="292" t="s">
        <v>6425</v>
      </c>
      <c r="C160" s="292" t="s">
        <v>1329</v>
      </c>
      <c r="D160" s="292" t="s">
        <v>1315</v>
      </c>
      <c r="E160" s="288"/>
      <c r="F160" s="288"/>
      <c r="G160" s="288"/>
    </row>
    <row r="161" spans="2:7">
      <c r="B161" s="292"/>
      <c r="C161" s="288"/>
      <c r="D161" s="288"/>
      <c r="E161" s="288"/>
      <c r="F161" s="288"/>
      <c r="G161" s="288"/>
    </row>
    <row r="162" spans="2:7">
      <c r="B162" s="292" t="s">
        <v>6426</v>
      </c>
      <c r="C162" s="288"/>
      <c r="D162" s="288"/>
      <c r="E162" s="288"/>
      <c r="F162" s="288"/>
      <c r="G162" s="288"/>
    </row>
    <row r="163" spans="2:7">
      <c r="B163" s="288"/>
      <c r="C163" s="288"/>
      <c r="D163" s="288"/>
      <c r="E163" s="288"/>
      <c r="F163" s="288"/>
      <c r="G163" s="288"/>
    </row>
  </sheetData>
  <hyperlinks>
    <hyperlink ref="C8" r:id="rId1" display="https://wipro365-my.sharepoint.com/personal/su20278582_wipro_com/Documents/Microsoft Copilot Chat Files/MEntor-Wipro Work Order Final - signed.pdf" xr:uid="{4BA5E96C-9F13-4100-91E0-0D857664CF05}"/>
    <hyperlink ref="C17" r:id="rId2" display="https://wipro365-my.sharepoint.com/personal/su20278582_wipro_com/Documents/Microsoft Copilot Chat Files/MEntor-Wipro Work Order Final - signed.pdf" xr:uid="{B249FAD7-8B00-4873-9287-4F5E13BA9951}"/>
    <hyperlink ref="C25" r:id="rId3" display="https://wipro365-my.sharepoint.com/personal/su20278582_wipro_com/Documents/Microsoft Copilot Chat Files/MEntor-Wipro Work Order Final - signed.pdf" xr:uid="{07C710E5-DAC8-401A-B261-D3E131F321DB}"/>
    <hyperlink ref="C33" r:id="rId4" display="https://wipro365-my.sharepoint.com/personal/su20278582_wipro_com/Documents/Microsoft Copilot Chat Files/MEntor-Wipro Work Order Final - signed.pdf" xr:uid="{109871A3-6C0E-4A9F-B986-452DE35712EC}"/>
    <hyperlink ref="C40" r:id="rId5" display="https://wipro365-my.sharepoint.com/personal/su20278582_wipro_com/Documents/Microsoft Copilot Chat Files/MEntor-Wipro Work Order Final - signed.pdf" xr:uid="{5DD7F548-CC5A-4AB4-B8C4-1F649B7EF70E}"/>
    <hyperlink ref="C46" r:id="rId6" display="https://wipro365-my.sharepoint.com/personal/su20278582_wipro_com/Documents/Microsoft Copilot Chat Files/MEntor-Wipro Work Order Final - signed.pdf" xr:uid="{2907D692-F300-435B-A651-0EF09996907C}"/>
    <hyperlink ref="C52" r:id="rId7" display="https://wipro365-my.sharepoint.com/personal/su20278582_wipro_com/Documents/Microsoft Copilot Chat Files/MEntor-Wipro Work Order Final - signed.pdf" xr:uid="{F8846E57-6065-4FDE-8AFC-70C40C93BE2C}"/>
    <hyperlink ref="C59" r:id="rId8" display="https://wipro365-my.sharepoint.com/personal/su20278582_wipro_com/Documents/Microsoft Copilot Chat Files/MEntor-Wipro Work Order Final - signed.pdf" xr:uid="{E42AE16F-5E4B-4072-A1A1-6F3E1DE55824}"/>
    <hyperlink ref="C68" r:id="rId9" display="https://wipro365-my.sharepoint.com/personal/su20278582_wipro_com/Documents/Microsoft Copilot Chat Files/MEntor-Wipro Work Order Final - signed.pdf" xr:uid="{DA97C1D1-9944-409D-94BD-81EAFDCF2299}"/>
    <hyperlink ref="C76" r:id="rId10" display="https://wipro365-my.sharepoint.com/personal/su20278582_wipro_com/Documents/Microsoft Copilot Chat Files/MEntor-Wipro Work Order Final - signed.pdf" xr:uid="{ED20D899-6C5D-430B-96F6-EA39CCB3D22C}"/>
    <hyperlink ref="C83" r:id="rId11" display="https://wipro365-my.sharepoint.com/personal/su20278582_wipro_com/Documents/Microsoft Copilot Chat Files/MEntor-Wipro Work Order Final - signed.pdf" xr:uid="{5F1CDC5C-55C3-4F9F-8F60-0E79BD886A06}"/>
  </hyperlinks>
  <pageMargins left="0.7" right="0.7" top="0.75" bottom="0.75" header="0.3" footer="0.3"/>
  <pageSetup orientation="portrait" r:id="rId12"/>
  <headerFooter>
    <oddFooter>&amp;L_x000D_&amp;1#&amp;"Aptos"&amp;10&amp;K000000 Confidential-Internal</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4048F-9413-476D-A046-D7ECD857E8C2}">
  <dimension ref="A1:G84"/>
  <sheetViews>
    <sheetView workbookViewId="0">
      <selection activeCell="I11" sqref="I11:J11"/>
    </sheetView>
  </sheetViews>
  <sheetFormatPr defaultColWidth="22.42578125" defaultRowHeight="12.95"/>
  <cols>
    <col min="1" max="16384" width="22.42578125" style="204"/>
  </cols>
  <sheetData>
    <row r="1" spans="1:5" ht="13.5" thickBot="1">
      <c r="A1" s="218" t="s">
        <v>6427</v>
      </c>
    </row>
    <row r="2" spans="1:5" ht="13.5" thickBot="1">
      <c r="A2" s="219" t="s">
        <v>5633</v>
      </c>
      <c r="B2" s="219" t="s">
        <v>6428</v>
      </c>
      <c r="C2" s="219" t="s">
        <v>6429</v>
      </c>
      <c r="D2" s="220" t="s">
        <v>990</v>
      </c>
      <c r="E2" s="219" t="s">
        <v>5633</v>
      </c>
    </row>
    <row r="3" spans="1:5" ht="53.1" thickTop="1" thickBot="1">
      <c r="A3" s="221" t="s">
        <v>6430</v>
      </c>
      <c r="B3" s="221" t="s">
        <v>6431</v>
      </c>
      <c r="C3" s="221" t="s">
        <v>6432</v>
      </c>
      <c r="D3" s="222" t="s">
        <v>1013</v>
      </c>
      <c r="E3" s="222" t="s">
        <v>1336</v>
      </c>
    </row>
    <row r="4" spans="1:5" ht="39.6" thickBot="1">
      <c r="A4" s="223" t="s">
        <v>6433</v>
      </c>
      <c r="B4" s="223" t="s">
        <v>6434</v>
      </c>
      <c r="C4" s="223" t="s">
        <v>6435</v>
      </c>
      <c r="D4" s="224" t="s">
        <v>1013</v>
      </c>
      <c r="E4" s="224" t="s">
        <v>1336</v>
      </c>
    </row>
    <row r="5" spans="1:5" ht="39.6" thickBot="1">
      <c r="A5" s="225" t="s">
        <v>6436</v>
      </c>
      <c r="B5" s="225" t="s">
        <v>6437</v>
      </c>
      <c r="C5" s="225" t="s">
        <v>6438</v>
      </c>
      <c r="D5" s="226" t="s">
        <v>1013</v>
      </c>
      <c r="E5" s="226" t="s">
        <v>1343</v>
      </c>
    </row>
    <row r="6" spans="1:5" ht="52.5" thickBot="1">
      <c r="A6" s="223" t="s">
        <v>6439</v>
      </c>
      <c r="B6" s="223" t="s">
        <v>6440</v>
      </c>
      <c r="C6" s="223" t="s">
        <v>6441</v>
      </c>
      <c r="D6" s="224" t="s">
        <v>1013</v>
      </c>
      <c r="E6" s="224" t="s">
        <v>1343</v>
      </c>
    </row>
    <row r="7" spans="1:5" ht="65.45" thickBot="1">
      <c r="A7" s="225" t="s">
        <v>6442</v>
      </c>
      <c r="B7" s="225" t="s">
        <v>6443</v>
      </c>
      <c r="C7" s="225" t="s">
        <v>6444</v>
      </c>
      <c r="D7" s="226" t="s">
        <v>1013</v>
      </c>
      <c r="E7" s="226" t="s">
        <v>1343</v>
      </c>
    </row>
    <row r="8" spans="1:5" ht="52.5" thickBot="1">
      <c r="A8" s="223" t="s">
        <v>6445</v>
      </c>
      <c r="B8" s="223" t="s">
        <v>6446</v>
      </c>
      <c r="C8" s="223" t="s">
        <v>6447</v>
      </c>
      <c r="D8" s="224" t="s">
        <v>1012</v>
      </c>
      <c r="E8" s="224" t="s">
        <v>1343</v>
      </c>
    </row>
    <row r="9" spans="1:5" ht="52.5" thickBot="1">
      <c r="A9" s="227" t="s">
        <v>6448</v>
      </c>
      <c r="B9" s="225" t="s">
        <v>6449</v>
      </c>
      <c r="C9" s="225" t="s">
        <v>6450</v>
      </c>
      <c r="D9" s="226" t="s">
        <v>1012</v>
      </c>
      <c r="E9" s="226" t="s">
        <v>6451</v>
      </c>
    </row>
    <row r="10" spans="1:5" ht="52.5" thickBot="1">
      <c r="A10" s="223" t="s">
        <v>6452</v>
      </c>
      <c r="B10" s="223" t="s">
        <v>6446</v>
      </c>
      <c r="C10" s="223" t="s">
        <v>6447</v>
      </c>
      <c r="D10" s="224" t="s">
        <v>1012</v>
      </c>
      <c r="E10" s="224" t="s">
        <v>1343</v>
      </c>
    </row>
    <row r="11" spans="1:5" ht="52.5" thickBot="1">
      <c r="A11" s="227" t="s">
        <v>6453</v>
      </c>
      <c r="B11" s="225" t="s">
        <v>6454</v>
      </c>
      <c r="C11" s="225" t="s">
        <v>6455</v>
      </c>
      <c r="D11" s="226" t="s">
        <v>1012</v>
      </c>
      <c r="E11" s="226" t="s">
        <v>6451</v>
      </c>
    </row>
    <row r="12" spans="1:5" ht="65.45" thickBot="1">
      <c r="A12" s="223" t="s">
        <v>6456</v>
      </c>
      <c r="B12" s="223" t="s">
        <v>6457</v>
      </c>
      <c r="C12" s="223" t="s">
        <v>6458</v>
      </c>
      <c r="D12" s="224" t="s">
        <v>1013</v>
      </c>
      <c r="E12" s="224" t="s">
        <v>1350</v>
      </c>
    </row>
    <row r="13" spans="1:5" ht="52.5" thickBot="1">
      <c r="A13" s="225" t="s">
        <v>6459</v>
      </c>
      <c r="B13" s="225" t="s">
        <v>6460</v>
      </c>
      <c r="C13" s="225" t="s">
        <v>6461</v>
      </c>
      <c r="D13" s="226" t="s">
        <v>1012</v>
      </c>
      <c r="E13" s="226" t="s">
        <v>1350</v>
      </c>
    </row>
    <row r="14" spans="1:5" ht="39.6" thickBot="1">
      <c r="A14" s="223" t="s">
        <v>6462</v>
      </c>
      <c r="B14" s="223" t="s">
        <v>6463</v>
      </c>
      <c r="C14" s="223" t="s">
        <v>6464</v>
      </c>
      <c r="D14" s="224" t="s">
        <v>1013</v>
      </c>
      <c r="E14" s="224" t="s">
        <v>1357</v>
      </c>
    </row>
    <row r="15" spans="1:5" ht="39.6" thickBot="1">
      <c r="A15" s="227" t="s">
        <v>6465</v>
      </c>
      <c r="B15" s="225" t="s">
        <v>6466</v>
      </c>
      <c r="C15" s="225" t="s">
        <v>6467</v>
      </c>
      <c r="D15" s="226" t="s">
        <v>1012</v>
      </c>
      <c r="E15" s="226" t="s">
        <v>6451</v>
      </c>
    </row>
    <row r="16" spans="1:5" ht="39.6" thickBot="1">
      <c r="A16" s="228" t="s">
        <v>6468</v>
      </c>
      <c r="B16" s="223" t="s">
        <v>6469</v>
      </c>
      <c r="C16" s="223" t="s">
        <v>6470</v>
      </c>
      <c r="D16" s="224" t="s">
        <v>2290</v>
      </c>
      <c r="E16" s="224" t="s">
        <v>6451</v>
      </c>
    </row>
    <row r="17" spans="1:7" ht="39.6" thickBot="1">
      <c r="A17" s="225" t="s">
        <v>6471</v>
      </c>
      <c r="B17" s="225" t="s">
        <v>6472</v>
      </c>
      <c r="C17" s="225" t="s">
        <v>6473</v>
      </c>
      <c r="D17" s="226" t="s">
        <v>1012</v>
      </c>
      <c r="E17" s="226" t="s">
        <v>1357</v>
      </c>
    </row>
    <row r="18" spans="1:7" ht="39.6" thickBot="1">
      <c r="A18" s="223" t="s">
        <v>6474</v>
      </c>
      <c r="B18" s="223" t="s">
        <v>6475</v>
      </c>
      <c r="C18" s="223" t="s">
        <v>6476</v>
      </c>
      <c r="D18" s="224" t="s">
        <v>1012</v>
      </c>
      <c r="E18" s="224" t="s">
        <v>1343</v>
      </c>
    </row>
    <row r="19" spans="1:7" ht="39.6" thickBot="1">
      <c r="A19" s="225" t="s">
        <v>6477</v>
      </c>
      <c r="B19" s="225" t="s">
        <v>6478</v>
      </c>
      <c r="C19" s="225" t="s">
        <v>6479</v>
      </c>
      <c r="D19" s="226" t="s">
        <v>6480</v>
      </c>
      <c r="E19" s="226" t="s">
        <v>1364</v>
      </c>
    </row>
    <row r="20" spans="1:7" ht="39.6" thickBot="1">
      <c r="A20" s="228" t="s">
        <v>6481</v>
      </c>
      <c r="B20" s="223" t="s">
        <v>6482</v>
      </c>
      <c r="C20" s="223" t="s">
        <v>6483</v>
      </c>
      <c r="D20" s="224" t="s">
        <v>1012</v>
      </c>
      <c r="E20" s="224" t="s">
        <v>6451</v>
      </c>
    </row>
    <row r="22" spans="1:7">
      <c r="A22" s="229" t="s">
        <v>6484</v>
      </c>
    </row>
    <row r="23" spans="1:7" ht="13.5" thickBot="1"/>
    <row r="24" spans="1:7" ht="26.45" thickBot="1">
      <c r="A24" s="220" t="s">
        <v>6485</v>
      </c>
      <c r="B24" s="220" t="s">
        <v>6486</v>
      </c>
      <c r="C24" s="220" t="s">
        <v>6487</v>
      </c>
      <c r="D24" s="220" t="s">
        <v>6488</v>
      </c>
      <c r="E24" s="220" t="s">
        <v>6489</v>
      </c>
      <c r="F24" s="220" t="s">
        <v>6490</v>
      </c>
      <c r="G24" s="220" t="s">
        <v>6491</v>
      </c>
    </row>
    <row r="25" spans="1:7" ht="39.950000000000003" thickTop="1" thickBot="1">
      <c r="A25" s="221" t="s">
        <v>6492</v>
      </c>
      <c r="B25" s="221" t="s">
        <v>6493</v>
      </c>
      <c r="C25" s="221" t="s">
        <v>6494</v>
      </c>
      <c r="D25" s="221" t="s">
        <v>6495</v>
      </c>
      <c r="E25" s="222" t="s">
        <v>4978</v>
      </c>
      <c r="F25" s="230"/>
      <c r="G25" s="221" t="s">
        <v>6496</v>
      </c>
    </row>
    <row r="26" spans="1:7" ht="39.6" thickBot="1">
      <c r="A26" s="231"/>
      <c r="B26" s="231"/>
      <c r="C26" s="223" t="s">
        <v>6497</v>
      </c>
      <c r="D26" s="223" t="s">
        <v>6498</v>
      </c>
      <c r="E26" s="224" t="s">
        <v>4978</v>
      </c>
      <c r="F26" s="232"/>
      <c r="G26" s="231"/>
    </row>
    <row r="27" spans="1:7" ht="39.6" thickBot="1">
      <c r="A27" s="233"/>
      <c r="B27" s="225" t="s">
        <v>6499</v>
      </c>
      <c r="C27" s="225" t="s">
        <v>6500</v>
      </c>
      <c r="D27" s="225" t="s">
        <v>6501</v>
      </c>
      <c r="E27" s="226" t="s">
        <v>4978</v>
      </c>
      <c r="F27" s="234"/>
      <c r="G27" s="233"/>
    </row>
    <row r="28" spans="1:7" ht="65.45" thickBot="1">
      <c r="A28" s="223" t="s">
        <v>6502</v>
      </c>
      <c r="B28" s="223" t="s">
        <v>6503</v>
      </c>
      <c r="C28" s="223" t="s">
        <v>6504</v>
      </c>
      <c r="D28" s="223" t="s">
        <v>6505</v>
      </c>
      <c r="E28" s="224" t="s">
        <v>1012</v>
      </c>
      <c r="F28" s="224" t="s">
        <v>6490</v>
      </c>
      <c r="G28" s="223" t="s">
        <v>6506</v>
      </c>
    </row>
    <row r="29" spans="1:7" ht="52.5" thickBot="1">
      <c r="A29" s="233"/>
      <c r="B29" s="233"/>
      <c r="C29" s="225" t="s">
        <v>6507</v>
      </c>
      <c r="D29" s="225" t="s">
        <v>6508</v>
      </c>
      <c r="E29" s="226" t="s">
        <v>4978</v>
      </c>
      <c r="F29" s="234"/>
      <c r="G29" s="225" t="s">
        <v>6509</v>
      </c>
    </row>
    <row r="30" spans="1:7" ht="52.5" thickBot="1">
      <c r="A30" s="231"/>
      <c r="B30" s="231"/>
      <c r="C30" s="223" t="s">
        <v>6510</v>
      </c>
      <c r="D30" s="223" t="s">
        <v>6511</v>
      </c>
      <c r="E30" s="224" t="s">
        <v>1012</v>
      </c>
      <c r="F30" s="224" t="s">
        <v>6490</v>
      </c>
      <c r="G30" s="223" t="s">
        <v>6512</v>
      </c>
    </row>
    <row r="31" spans="1:7" ht="52.5" thickBot="1">
      <c r="A31" s="233"/>
      <c r="B31" s="225" t="s">
        <v>6513</v>
      </c>
      <c r="C31" s="225" t="s">
        <v>6514</v>
      </c>
      <c r="D31" s="225" t="s">
        <v>6515</v>
      </c>
      <c r="E31" s="226" t="s">
        <v>1012</v>
      </c>
      <c r="F31" s="226" t="s">
        <v>6490</v>
      </c>
      <c r="G31" s="225" t="s">
        <v>6516</v>
      </c>
    </row>
    <row r="32" spans="1:7" ht="65.45" thickBot="1">
      <c r="A32" s="231"/>
      <c r="B32" s="231"/>
      <c r="C32" s="223" t="s">
        <v>6517</v>
      </c>
      <c r="D32" s="223" t="s">
        <v>6518</v>
      </c>
      <c r="E32" s="224" t="s">
        <v>1012</v>
      </c>
      <c r="F32" s="224" t="s">
        <v>6490</v>
      </c>
      <c r="G32" s="223" t="s">
        <v>6519</v>
      </c>
    </row>
    <row r="33" spans="1:7" ht="26.1">
      <c r="A33" s="344" t="s">
        <v>6520</v>
      </c>
      <c r="B33" s="344" t="s">
        <v>6521</v>
      </c>
      <c r="C33" s="344" t="s">
        <v>6522</v>
      </c>
      <c r="D33" s="344" t="s">
        <v>6523</v>
      </c>
      <c r="E33" s="346" t="s">
        <v>1012</v>
      </c>
      <c r="F33" s="346" t="s">
        <v>6490</v>
      </c>
      <c r="G33" s="235" t="s">
        <v>6524</v>
      </c>
    </row>
    <row r="34" spans="1:7" ht="39.6" thickBot="1">
      <c r="A34" s="345"/>
      <c r="B34" s="345"/>
      <c r="C34" s="345"/>
      <c r="D34" s="345"/>
      <c r="E34" s="347"/>
      <c r="F34" s="347"/>
      <c r="G34" s="236" t="s">
        <v>6525</v>
      </c>
    </row>
    <row r="35" spans="1:7" ht="39.6" thickBot="1">
      <c r="A35" s="231"/>
      <c r="B35" s="231"/>
      <c r="C35" s="223" t="s">
        <v>6526</v>
      </c>
      <c r="D35" s="223" t="s">
        <v>6527</v>
      </c>
      <c r="E35" s="224" t="s">
        <v>1012</v>
      </c>
      <c r="F35" s="224" t="s">
        <v>6490</v>
      </c>
      <c r="G35" s="231"/>
    </row>
    <row r="36" spans="1:7" ht="117.6" thickBot="1">
      <c r="A36" s="233"/>
      <c r="B36" s="225" t="s">
        <v>6528</v>
      </c>
      <c r="C36" s="225" t="s">
        <v>6529</v>
      </c>
      <c r="D36" s="225" t="s">
        <v>6530</v>
      </c>
      <c r="E36" s="226" t="s">
        <v>1012</v>
      </c>
      <c r="F36" s="226" t="s">
        <v>6490</v>
      </c>
      <c r="G36" s="225" t="s">
        <v>6531</v>
      </c>
    </row>
    <row r="37" spans="1:7" ht="39.6" thickBot="1">
      <c r="A37" s="231"/>
      <c r="B37" s="231"/>
      <c r="C37" s="223" t="s">
        <v>6532</v>
      </c>
      <c r="D37" s="223" t="s">
        <v>6533</v>
      </c>
      <c r="E37" s="224" t="s">
        <v>1012</v>
      </c>
      <c r="F37" s="232"/>
      <c r="G37" s="223" t="s">
        <v>6534</v>
      </c>
    </row>
    <row r="38" spans="1:7" ht="39.6" thickBot="1">
      <c r="A38" s="233"/>
      <c r="B38" s="233"/>
      <c r="C38" s="225" t="s">
        <v>6535</v>
      </c>
      <c r="D38" s="225" t="s">
        <v>6536</v>
      </c>
      <c r="E38" s="226" t="s">
        <v>2290</v>
      </c>
      <c r="F38" s="234"/>
      <c r="G38" s="225" t="s">
        <v>6537</v>
      </c>
    </row>
    <row r="39" spans="1:7" ht="26.45" thickBot="1">
      <c r="A39" s="220" t="s">
        <v>6485</v>
      </c>
      <c r="B39" s="220" t="s">
        <v>6486</v>
      </c>
      <c r="C39" s="220" t="s">
        <v>6487</v>
      </c>
      <c r="D39" s="220" t="s">
        <v>6488</v>
      </c>
      <c r="E39" s="220" t="s">
        <v>6489</v>
      </c>
      <c r="F39" s="220" t="s">
        <v>6490</v>
      </c>
      <c r="G39" s="220" t="s">
        <v>6491</v>
      </c>
    </row>
    <row r="40" spans="1:7" ht="39.950000000000003" thickTop="1" thickBot="1">
      <c r="A40" s="221" t="s">
        <v>6538</v>
      </c>
      <c r="B40" s="221" t="s">
        <v>6539</v>
      </c>
      <c r="C40" s="221" t="s">
        <v>6540</v>
      </c>
      <c r="D40" s="221" t="s">
        <v>6541</v>
      </c>
      <c r="E40" s="221" t="s">
        <v>1012</v>
      </c>
      <c r="F40" s="221" t="s">
        <v>6490</v>
      </c>
      <c r="G40" s="221" t="s">
        <v>6542</v>
      </c>
    </row>
    <row r="41" spans="1:7" ht="51.95">
      <c r="A41" s="348"/>
      <c r="B41" s="348"/>
      <c r="C41" s="342" t="s">
        <v>6195</v>
      </c>
      <c r="D41" s="237" t="s">
        <v>6543</v>
      </c>
      <c r="E41" s="342" t="s">
        <v>1012</v>
      </c>
      <c r="F41" s="342" t="s">
        <v>6490</v>
      </c>
      <c r="G41" s="342" t="s">
        <v>6544</v>
      </c>
    </row>
    <row r="42" spans="1:7" ht="13.5" thickBot="1">
      <c r="A42" s="349"/>
      <c r="B42" s="349"/>
      <c r="C42" s="343"/>
      <c r="D42" s="238" t="s">
        <v>6545</v>
      </c>
      <c r="E42" s="343"/>
      <c r="F42" s="343"/>
      <c r="G42" s="343"/>
    </row>
    <row r="43" spans="1:7" ht="52.5" thickBot="1">
      <c r="A43" s="233"/>
      <c r="B43" s="225" t="s">
        <v>6545</v>
      </c>
      <c r="C43" s="225" t="s">
        <v>6546</v>
      </c>
      <c r="D43" s="225" t="s">
        <v>6547</v>
      </c>
      <c r="E43" s="225" t="s">
        <v>1012</v>
      </c>
      <c r="F43" s="225" t="s">
        <v>6490</v>
      </c>
      <c r="G43" s="225" t="s">
        <v>6548</v>
      </c>
    </row>
    <row r="44" spans="1:7" ht="78.599999999999994" thickBot="1">
      <c r="A44" s="231"/>
      <c r="B44" s="231"/>
      <c r="C44" s="223" t="s">
        <v>6549</v>
      </c>
      <c r="D44" s="223" t="s">
        <v>6550</v>
      </c>
      <c r="E44" s="223" t="s">
        <v>1012</v>
      </c>
      <c r="F44" s="223" t="s">
        <v>6490</v>
      </c>
      <c r="G44" s="223" t="s">
        <v>6551</v>
      </c>
    </row>
    <row r="45" spans="1:7" ht="52.5" thickBot="1">
      <c r="A45" s="233"/>
      <c r="B45" s="233"/>
      <c r="C45" s="225" t="s">
        <v>6552</v>
      </c>
      <c r="D45" s="225" t="s">
        <v>6553</v>
      </c>
      <c r="E45" s="225" t="s">
        <v>1012</v>
      </c>
      <c r="F45" s="225" t="s">
        <v>6490</v>
      </c>
      <c r="G45" s="225" t="s">
        <v>6548</v>
      </c>
    </row>
    <row r="46" spans="1:7" ht="65.45" thickBot="1">
      <c r="A46" s="231"/>
      <c r="B46" s="231"/>
      <c r="C46" s="223" t="s">
        <v>6554</v>
      </c>
      <c r="D46" s="223" t="s">
        <v>6555</v>
      </c>
      <c r="E46" s="223" t="s">
        <v>1012</v>
      </c>
      <c r="F46" s="223" t="s">
        <v>6490</v>
      </c>
      <c r="G46" s="223" t="s">
        <v>6556</v>
      </c>
    </row>
    <row r="47" spans="1:7" ht="39.6" thickBot="1">
      <c r="A47" s="233"/>
      <c r="B47" s="225" t="s">
        <v>6557</v>
      </c>
      <c r="C47" s="225" t="s">
        <v>6558</v>
      </c>
      <c r="D47" s="225" t="s">
        <v>6559</v>
      </c>
      <c r="E47" s="225" t="s">
        <v>1012</v>
      </c>
      <c r="F47" s="225" t="s">
        <v>6490</v>
      </c>
      <c r="G47" s="344" t="s">
        <v>6560</v>
      </c>
    </row>
    <row r="48" spans="1:7" ht="39.6" thickBot="1">
      <c r="A48" s="231"/>
      <c r="B48" s="231"/>
      <c r="C48" s="223" t="s">
        <v>6200</v>
      </c>
      <c r="D48" s="223" t="s">
        <v>6561</v>
      </c>
      <c r="E48" s="223" t="s">
        <v>1012</v>
      </c>
      <c r="F48" s="223" t="s">
        <v>6490</v>
      </c>
      <c r="G48" s="350"/>
    </row>
    <row r="49" spans="1:7" ht="39.6" thickBot="1">
      <c r="A49" s="233"/>
      <c r="B49" s="233"/>
      <c r="C49" s="225" t="s">
        <v>6562</v>
      </c>
      <c r="D49" s="225" t="s">
        <v>6563</v>
      </c>
      <c r="E49" s="225" t="s">
        <v>1012</v>
      </c>
      <c r="F49" s="225" t="s">
        <v>6490</v>
      </c>
      <c r="G49" s="345"/>
    </row>
    <row r="50" spans="1:7" ht="39.6" thickBot="1">
      <c r="A50" s="223" t="s">
        <v>6564</v>
      </c>
      <c r="B50" s="223" t="s">
        <v>6565</v>
      </c>
      <c r="C50" s="223" t="s">
        <v>6566</v>
      </c>
      <c r="D50" s="223" t="s">
        <v>6567</v>
      </c>
      <c r="E50" s="223" t="s">
        <v>4978</v>
      </c>
      <c r="F50" s="231"/>
      <c r="G50" s="342" t="s">
        <v>6568</v>
      </c>
    </row>
    <row r="51" spans="1:7" ht="26.45" thickBot="1">
      <c r="A51" s="233"/>
      <c r="B51" s="225" t="s">
        <v>6569</v>
      </c>
      <c r="C51" s="225" t="s">
        <v>6570</v>
      </c>
      <c r="D51" s="225" t="s">
        <v>6571</v>
      </c>
      <c r="E51" s="225" t="s">
        <v>4978</v>
      </c>
      <c r="F51" s="233"/>
      <c r="G51" s="351"/>
    </row>
    <row r="52" spans="1:7" ht="13.5" thickBot="1">
      <c r="A52" s="231"/>
      <c r="B52" s="231"/>
      <c r="C52" s="223" t="s">
        <v>6572</v>
      </c>
      <c r="D52" s="223" t="s">
        <v>6573</v>
      </c>
      <c r="E52" s="223" t="s">
        <v>4978</v>
      </c>
      <c r="F52" s="231"/>
      <c r="G52" s="351"/>
    </row>
    <row r="53" spans="1:7" ht="26.45" thickBot="1">
      <c r="A53" s="233"/>
      <c r="B53" s="225" t="s">
        <v>6574</v>
      </c>
      <c r="C53" s="225" t="s">
        <v>6575</v>
      </c>
      <c r="D53" s="225" t="s">
        <v>6576</v>
      </c>
      <c r="E53" s="225" t="s">
        <v>4978</v>
      </c>
      <c r="F53" s="233"/>
      <c r="G53" s="343"/>
    </row>
    <row r="54" spans="1:7" ht="49.5" customHeight="1">
      <c r="A54" s="348"/>
      <c r="B54" s="348"/>
      <c r="C54" s="342" t="s">
        <v>6577</v>
      </c>
      <c r="D54" s="342" t="s">
        <v>6578</v>
      </c>
      <c r="E54" s="348"/>
      <c r="F54" s="348"/>
      <c r="G54" s="237" t="s">
        <v>6579</v>
      </c>
    </row>
    <row r="55" spans="1:7" ht="52.5" thickBot="1">
      <c r="A55" s="349"/>
      <c r="B55" s="349"/>
      <c r="C55" s="343"/>
      <c r="D55" s="343"/>
      <c r="E55" s="349"/>
      <c r="F55" s="349"/>
      <c r="G55" s="238" t="s">
        <v>6580</v>
      </c>
    </row>
    <row r="56" spans="1:7" ht="26.45" thickBot="1">
      <c r="A56" s="220" t="s">
        <v>6485</v>
      </c>
      <c r="B56" s="220" t="s">
        <v>6486</v>
      </c>
      <c r="C56" s="220" t="s">
        <v>6487</v>
      </c>
      <c r="D56" s="220" t="s">
        <v>6488</v>
      </c>
      <c r="E56" s="220" t="s">
        <v>6489</v>
      </c>
      <c r="F56" s="220" t="s">
        <v>6490</v>
      </c>
      <c r="G56" s="220" t="s">
        <v>6491</v>
      </c>
    </row>
    <row r="57" spans="1:7" ht="27" thickTop="1" thickBot="1">
      <c r="A57" s="221" t="s">
        <v>6581</v>
      </c>
      <c r="B57" s="221" t="s">
        <v>6582</v>
      </c>
      <c r="C57" s="221" t="s">
        <v>6583</v>
      </c>
      <c r="D57" s="221" t="s">
        <v>6584</v>
      </c>
      <c r="E57" s="221" t="s">
        <v>4978</v>
      </c>
      <c r="F57" s="239"/>
      <c r="G57" s="352" t="s">
        <v>6585</v>
      </c>
    </row>
    <row r="58" spans="1:7" ht="26.45" thickBot="1">
      <c r="A58" s="231"/>
      <c r="B58" s="231"/>
      <c r="C58" s="223" t="s">
        <v>6586</v>
      </c>
      <c r="D58" s="223" t="s">
        <v>6587</v>
      </c>
      <c r="E58" s="223" t="s">
        <v>4978</v>
      </c>
      <c r="F58" s="231"/>
      <c r="G58" s="350"/>
    </row>
    <row r="59" spans="1:7" ht="26.45" thickBot="1">
      <c r="A59" s="233"/>
      <c r="B59" s="225" t="s">
        <v>6588</v>
      </c>
      <c r="C59" s="225" t="s">
        <v>6589</v>
      </c>
      <c r="D59" s="225" t="s">
        <v>6590</v>
      </c>
      <c r="E59" s="225" t="s">
        <v>4978</v>
      </c>
      <c r="F59" s="233"/>
      <c r="G59" s="345"/>
    </row>
    <row r="60" spans="1:7" ht="52.5" thickBot="1">
      <c r="A60" s="231"/>
      <c r="B60" s="231"/>
      <c r="C60" s="223" t="s">
        <v>1650</v>
      </c>
      <c r="D60" s="223" t="s">
        <v>6591</v>
      </c>
      <c r="E60" s="223" t="s">
        <v>1012</v>
      </c>
      <c r="F60" s="223" t="s">
        <v>6490</v>
      </c>
      <c r="G60" s="223" t="s">
        <v>6592</v>
      </c>
    </row>
    <row r="61" spans="1:7" ht="39.6" thickBot="1">
      <c r="A61" s="225" t="s">
        <v>6593</v>
      </c>
      <c r="B61" s="225" t="s">
        <v>6594</v>
      </c>
      <c r="C61" s="225" t="s">
        <v>6595</v>
      </c>
      <c r="D61" s="225" t="s">
        <v>6596</v>
      </c>
      <c r="E61" s="225" t="s">
        <v>4978</v>
      </c>
      <c r="F61" s="233"/>
      <c r="G61" s="233"/>
    </row>
    <row r="62" spans="1:7" ht="26.45" thickBot="1">
      <c r="A62" s="231"/>
      <c r="B62" s="223" t="s">
        <v>6597</v>
      </c>
      <c r="C62" s="223" t="s">
        <v>6598</v>
      </c>
      <c r="D62" s="223" t="s">
        <v>6599</v>
      </c>
      <c r="E62" s="223" t="s">
        <v>4978</v>
      </c>
      <c r="F62" s="231"/>
      <c r="G62" s="231"/>
    </row>
    <row r="63" spans="1:7" ht="117.6" thickBot="1">
      <c r="A63" s="233"/>
      <c r="B63" s="225" t="s">
        <v>1819</v>
      </c>
      <c r="C63" s="225" t="s">
        <v>6228</v>
      </c>
      <c r="D63" s="225" t="s">
        <v>6600</v>
      </c>
      <c r="E63" s="225" t="s">
        <v>1012</v>
      </c>
      <c r="F63" s="225" t="s">
        <v>6490</v>
      </c>
      <c r="G63" s="225" t="s">
        <v>6601</v>
      </c>
    </row>
    <row r="64" spans="1:7" ht="39.6" thickBot="1">
      <c r="A64" s="223" t="s">
        <v>6602</v>
      </c>
      <c r="B64" s="223" t="s">
        <v>506</v>
      </c>
      <c r="C64" s="223" t="s">
        <v>6603</v>
      </c>
      <c r="D64" s="223" t="s">
        <v>6604</v>
      </c>
      <c r="E64" s="223" t="s">
        <v>4978</v>
      </c>
      <c r="F64" s="231"/>
      <c r="G64" s="223" t="s">
        <v>6605</v>
      </c>
    </row>
    <row r="65" spans="1:7" ht="26.45" thickBot="1">
      <c r="A65" s="233"/>
      <c r="B65" s="225" t="s">
        <v>6606</v>
      </c>
      <c r="C65" s="225" t="s">
        <v>6204</v>
      </c>
      <c r="D65" s="225" t="s">
        <v>6607</v>
      </c>
      <c r="E65" s="225" t="s">
        <v>1012</v>
      </c>
      <c r="F65" s="225" t="s">
        <v>6490</v>
      </c>
      <c r="G65" s="225" t="s">
        <v>6608</v>
      </c>
    </row>
    <row r="66" spans="1:7" ht="13.5" thickBot="1">
      <c r="A66" s="231"/>
      <c r="B66" s="223" t="s">
        <v>6609</v>
      </c>
      <c r="C66" s="223" t="s">
        <v>6210</v>
      </c>
      <c r="D66" s="223" t="s">
        <v>6610</v>
      </c>
      <c r="E66" s="223" t="s">
        <v>1012</v>
      </c>
      <c r="F66" s="223" t="s">
        <v>6490</v>
      </c>
      <c r="G66" s="231"/>
    </row>
    <row r="67" spans="1:7" ht="26.45" thickBot="1">
      <c r="A67" s="233"/>
      <c r="B67" s="225" t="s">
        <v>6611</v>
      </c>
      <c r="C67" s="225" t="s">
        <v>6612</v>
      </c>
      <c r="D67" s="225" t="s">
        <v>6613</v>
      </c>
      <c r="E67" s="225" t="s">
        <v>4978</v>
      </c>
      <c r="F67" s="233"/>
      <c r="G67" s="225" t="s">
        <v>6537</v>
      </c>
    </row>
    <row r="68" spans="1:7">
      <c r="A68" s="342" t="s">
        <v>6614</v>
      </c>
      <c r="B68" s="342" t="s">
        <v>2906</v>
      </c>
      <c r="C68" s="342" t="s">
        <v>6217</v>
      </c>
      <c r="D68" s="342" t="s">
        <v>6615</v>
      </c>
      <c r="E68" s="342" t="s">
        <v>1012</v>
      </c>
      <c r="F68" s="342" t="s">
        <v>6490</v>
      </c>
      <c r="G68" s="237" t="s">
        <v>6616</v>
      </c>
    </row>
    <row r="69" spans="1:7" ht="52.5" thickBot="1">
      <c r="A69" s="343"/>
      <c r="B69" s="343"/>
      <c r="C69" s="343"/>
      <c r="D69" s="343"/>
      <c r="E69" s="343"/>
      <c r="F69" s="343"/>
      <c r="G69" s="238" t="s">
        <v>6617</v>
      </c>
    </row>
    <row r="70" spans="1:7" ht="39.6" thickBot="1">
      <c r="A70" s="233"/>
      <c r="B70" s="233"/>
      <c r="C70" s="225" t="s">
        <v>6618</v>
      </c>
      <c r="D70" s="225" t="s">
        <v>6619</v>
      </c>
      <c r="E70" s="225" t="s">
        <v>4978</v>
      </c>
      <c r="F70" s="233"/>
      <c r="G70" s="225" t="s">
        <v>6620</v>
      </c>
    </row>
    <row r="71" spans="1:7" ht="104.45" thickBot="1">
      <c r="A71" s="231"/>
      <c r="B71" s="223" t="s">
        <v>6621</v>
      </c>
      <c r="C71" s="223" t="s">
        <v>6622</v>
      </c>
      <c r="D71" s="223" t="s">
        <v>6623</v>
      </c>
      <c r="E71" s="223" t="s">
        <v>1012</v>
      </c>
      <c r="F71" s="223" t="s">
        <v>6490</v>
      </c>
      <c r="G71" s="223" t="s">
        <v>6624</v>
      </c>
    </row>
    <row r="72" spans="1:7" ht="39" customHeight="1" thickBot="1">
      <c r="A72" s="220" t="s">
        <v>6485</v>
      </c>
      <c r="B72" s="220" t="s">
        <v>6486</v>
      </c>
      <c r="C72" s="220" t="s">
        <v>6487</v>
      </c>
      <c r="D72" s="220" t="s">
        <v>6488</v>
      </c>
      <c r="E72" s="220" t="s">
        <v>6489</v>
      </c>
      <c r="F72" s="220" t="s">
        <v>6490</v>
      </c>
      <c r="G72" s="220" t="s">
        <v>6491</v>
      </c>
    </row>
    <row r="73" spans="1:7" ht="48.6" customHeight="1" thickTop="1" thickBot="1">
      <c r="A73" s="240" t="s">
        <v>6625</v>
      </c>
      <c r="B73" s="221" t="s">
        <v>6626</v>
      </c>
      <c r="C73" s="221" t="s">
        <v>6627</v>
      </c>
      <c r="D73" s="221" t="s">
        <v>6628</v>
      </c>
      <c r="E73" s="221" t="s">
        <v>4978</v>
      </c>
      <c r="F73" s="230"/>
      <c r="G73" s="239"/>
    </row>
    <row r="74" spans="1:7" ht="26.45" thickBot="1">
      <c r="A74" s="231"/>
      <c r="B74" s="223" t="s">
        <v>1914</v>
      </c>
      <c r="C74" s="223" t="s">
        <v>6629</v>
      </c>
      <c r="D74" s="223" t="s">
        <v>6630</v>
      </c>
      <c r="E74" s="223" t="s">
        <v>2290</v>
      </c>
      <c r="F74" s="232"/>
      <c r="G74" s="223" t="s">
        <v>6631</v>
      </c>
    </row>
    <row r="75" spans="1:7" ht="39.6" thickBot="1">
      <c r="A75" s="233"/>
      <c r="B75" s="233"/>
      <c r="C75" s="225" t="s">
        <v>6632</v>
      </c>
      <c r="D75" s="225" t="s">
        <v>6633</v>
      </c>
      <c r="E75" s="225" t="s">
        <v>1012</v>
      </c>
      <c r="F75" s="226" t="s">
        <v>6490</v>
      </c>
      <c r="G75" s="225" t="s">
        <v>6634</v>
      </c>
    </row>
    <row r="76" spans="1:7" ht="39.6" thickBot="1">
      <c r="A76" s="231"/>
      <c r="B76" s="223" t="s">
        <v>5065</v>
      </c>
      <c r="C76" s="223" t="s">
        <v>6635</v>
      </c>
      <c r="D76" s="223" t="s">
        <v>6636</v>
      </c>
      <c r="E76" s="223" t="s">
        <v>1012</v>
      </c>
      <c r="F76" s="232"/>
      <c r="G76" s="231"/>
    </row>
    <row r="77" spans="1:7" ht="26.45" thickBot="1">
      <c r="A77" s="241" t="s">
        <v>6637</v>
      </c>
      <c r="B77" s="225" t="s">
        <v>1840</v>
      </c>
      <c r="C77" s="225" t="s">
        <v>6638</v>
      </c>
      <c r="D77" s="225" t="s">
        <v>6639</v>
      </c>
      <c r="E77" s="225" t="s">
        <v>4978</v>
      </c>
      <c r="F77" s="226" t="s">
        <v>6640</v>
      </c>
      <c r="G77" s="233"/>
    </row>
    <row r="78" spans="1:7">
      <c r="A78" s="348"/>
      <c r="B78" s="342" t="s">
        <v>6641</v>
      </c>
      <c r="C78" s="342" t="s">
        <v>6642</v>
      </c>
      <c r="D78" s="237" t="s">
        <v>6642</v>
      </c>
      <c r="E78" s="342" t="s">
        <v>4978</v>
      </c>
      <c r="F78" s="353" t="s">
        <v>6640</v>
      </c>
      <c r="G78" s="348"/>
    </row>
    <row r="79" spans="1:7" ht="39.6" thickBot="1">
      <c r="A79" s="349"/>
      <c r="B79" s="343"/>
      <c r="C79" s="343"/>
      <c r="D79" s="238" t="s">
        <v>6643</v>
      </c>
      <c r="E79" s="343"/>
      <c r="F79" s="354"/>
      <c r="G79" s="349"/>
    </row>
    <row r="80" spans="1:7" ht="39.6" thickBot="1">
      <c r="A80" s="233"/>
      <c r="B80" s="225" t="s">
        <v>6644</v>
      </c>
      <c r="C80" s="225" t="s">
        <v>6645</v>
      </c>
      <c r="D80" s="225" t="s">
        <v>6646</v>
      </c>
      <c r="E80" s="225" t="s">
        <v>4978</v>
      </c>
      <c r="F80" s="226" t="s">
        <v>6640</v>
      </c>
      <c r="G80" s="233"/>
    </row>
    <row r="81" spans="1:7" ht="26.45" thickBot="1">
      <c r="A81" s="242" t="s">
        <v>6647</v>
      </c>
      <c r="B81" s="223" t="s">
        <v>6648</v>
      </c>
      <c r="C81" s="223" t="s">
        <v>6649</v>
      </c>
      <c r="D81" s="223" t="s">
        <v>6650</v>
      </c>
      <c r="E81" s="223" t="s">
        <v>4978</v>
      </c>
      <c r="F81" s="224" t="s">
        <v>6640</v>
      </c>
      <c r="G81" s="231"/>
    </row>
    <row r="82" spans="1:7" ht="39.6" thickBot="1">
      <c r="A82" s="233"/>
      <c r="B82" s="225" t="s">
        <v>2070</v>
      </c>
      <c r="C82" s="225" t="s">
        <v>6651</v>
      </c>
      <c r="D82" s="225" t="s">
        <v>6652</v>
      </c>
      <c r="E82" s="225" t="s">
        <v>4978</v>
      </c>
      <c r="F82" s="226" t="s">
        <v>6640</v>
      </c>
      <c r="G82" s="233"/>
    </row>
    <row r="83" spans="1:7" ht="78.599999999999994" thickBot="1">
      <c r="A83" s="231"/>
      <c r="B83" s="223" t="s">
        <v>3298</v>
      </c>
      <c r="C83" s="223" t="s">
        <v>6653</v>
      </c>
      <c r="D83" s="223" t="s">
        <v>6654</v>
      </c>
      <c r="E83" s="223" t="s">
        <v>2290</v>
      </c>
      <c r="F83" s="224" t="s">
        <v>6490</v>
      </c>
      <c r="G83" s="223" t="s">
        <v>6655</v>
      </c>
    </row>
    <row r="84" spans="1:7" ht="26.45" thickBot="1">
      <c r="A84" s="233"/>
      <c r="B84" s="225" t="s">
        <v>1683</v>
      </c>
      <c r="C84" s="225" t="s">
        <v>6656</v>
      </c>
      <c r="D84" s="225" t="s">
        <v>6657</v>
      </c>
      <c r="E84" s="225" t="s">
        <v>4978</v>
      </c>
      <c r="F84" s="234"/>
      <c r="G84" s="225" t="s">
        <v>6658</v>
      </c>
    </row>
  </sheetData>
  <mergeCells count="33">
    <mergeCell ref="G78:G79"/>
    <mergeCell ref="G57:G59"/>
    <mergeCell ref="A68:A69"/>
    <mergeCell ref="B68:B69"/>
    <mergeCell ref="C68:C69"/>
    <mergeCell ref="D68:D69"/>
    <mergeCell ref="E68:E69"/>
    <mergeCell ref="F68:F69"/>
    <mergeCell ref="A78:A79"/>
    <mergeCell ref="B78:B79"/>
    <mergeCell ref="C78:C79"/>
    <mergeCell ref="E78:E79"/>
    <mergeCell ref="F78:F79"/>
    <mergeCell ref="G47:G49"/>
    <mergeCell ref="G50:G53"/>
    <mergeCell ref="A54:A55"/>
    <mergeCell ref="B54:B55"/>
    <mergeCell ref="C54:C55"/>
    <mergeCell ref="D54:D55"/>
    <mergeCell ref="E54:E55"/>
    <mergeCell ref="F54:F55"/>
    <mergeCell ref="G41:G42"/>
    <mergeCell ref="A33:A34"/>
    <mergeCell ref="B33:B34"/>
    <mergeCell ref="C33:C34"/>
    <mergeCell ref="D33:D34"/>
    <mergeCell ref="E33:E34"/>
    <mergeCell ref="F33:F34"/>
    <mergeCell ref="A41:A42"/>
    <mergeCell ref="B41:B42"/>
    <mergeCell ref="C41:C42"/>
    <mergeCell ref="E41:E42"/>
    <mergeCell ref="F41:F42"/>
  </mergeCells>
  <pageMargins left="0.7" right="0.7" top="0.75" bottom="0.75" header="0.3" footer="0.3"/>
  <pageSetup orientation="portrait" r:id="rId1"/>
  <headerFooter>
    <oddFooter>&amp;L_x000D_&amp;1#&amp;"Aptos"&amp;10&amp;K000000 Confidential-Internal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303b014-a639-4307-99ec-6450579695da">
      <Terms xmlns="http://schemas.microsoft.com/office/infopath/2007/PartnerControls"/>
    </lcf76f155ced4ddcb4097134ff3c332f>
    <TaxCatchAll xmlns="5fb82756-1413-4c56-bef1-51536ede70f1"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A8CD884E8E8D4468FA71678BA7675B7" ma:contentTypeVersion="10" ma:contentTypeDescription="Create a new document." ma:contentTypeScope="" ma:versionID="01ceda49366daa7fc8bfc1dbcc5798c1">
  <xsd:schema xmlns:xsd="http://www.w3.org/2001/XMLSchema" xmlns:xs="http://www.w3.org/2001/XMLSchema" xmlns:p="http://schemas.microsoft.com/office/2006/metadata/properties" xmlns:ns2="4303b014-a639-4307-99ec-6450579695da" xmlns:ns3="5fb82756-1413-4c56-bef1-51536ede70f1" targetNamespace="http://schemas.microsoft.com/office/2006/metadata/properties" ma:root="true" ma:fieldsID="c51a79ed2fe6b8cbcb07b12934395ae2" ns2:_="" ns3:_="">
    <xsd:import namespace="4303b014-a639-4307-99ec-6450579695da"/>
    <xsd:import namespace="5fb82756-1413-4c56-bef1-51536ede70f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303b014-a639-4307-99ec-6450579695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26df4c0-9ee9-406c-8b5c-a0fe24c95ff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fb82756-1413-4c56-bef1-51536ede70f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0d89777-7836-4d15-bede-6fb9d53790e3}" ma:internalName="TaxCatchAll" ma:showField="CatchAllData" ma:web="5fb82756-1413-4c56-bef1-51536ede70f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ED713AC-00A3-4D73-86CF-A652F274FC23}"/>
</file>

<file path=customXml/itemProps2.xml><?xml version="1.0" encoding="utf-8"?>
<ds:datastoreItem xmlns:ds="http://schemas.openxmlformats.org/officeDocument/2006/customXml" ds:itemID="{19E8C104-1FF8-4D95-A3BB-5A9B2B38143E}"/>
</file>

<file path=customXml/itemProps3.xml><?xml version="1.0" encoding="utf-8"?>
<ds:datastoreItem xmlns:ds="http://schemas.openxmlformats.org/officeDocument/2006/customXml" ds:itemID="{6D3B5DA6-ABD6-4211-9541-D0A46A0DB88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SUNIL Ramarao</dc:creator>
  <cp:keywords/>
  <dc:description/>
  <cp:lastModifiedBy>Swata Dey</cp:lastModifiedBy>
  <cp:revision/>
  <dcterms:created xsi:type="dcterms:W3CDTF">2026-08-06T10:18:00Z</dcterms:created>
  <dcterms:modified xsi:type="dcterms:W3CDTF">2026-09-30T13:35:35Z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0x0101002A8CD884E8E8D4468FA71678BA7675B7</vt:lpwstr>
  </property>
  <property fmtid="{D5CDD505-2E9C-101B-9397-08002B2CF9AE}" pid="3" name="MediaServiceImageTags">
    <vt:lpwstr/>
  </property>
  <property fmtid="{D5CDD505-2E9C-101B-9397-08002B2CF9AE}" pid="4" name="MSIP_Label_fe514134-a9b1-4a98-981b-1949b898a3a5_Enabled">
    <vt:lpwstr>true</vt:lpwstr>
  </property>
  <property fmtid="{D5CDD505-2E9C-101B-9397-08002B2CF9AE}" pid="5" name="MSIP_Label_fe514134-a9b1-4a98-981b-1949b898a3a5_SetDate">
    <vt:lpwstr>2026-09-13T06:33:12Z</vt:lpwstr>
  </property>
  <property fmtid="{D5CDD505-2E9C-101B-9397-08002B2CF9AE}" pid="6" name="MSIP_Label_fe514134-a9b1-4a98-981b-1949b898a3a5_Method">
    <vt:lpwstr>Privileged</vt:lpwstr>
  </property>
  <property fmtid="{D5CDD505-2E9C-101B-9397-08002B2CF9AE}" pid="7" name="MSIP_Label_fe514134-a9b1-4a98-981b-1949b898a3a5_Name">
    <vt:lpwstr>Internal</vt:lpwstr>
  </property>
  <property fmtid="{D5CDD505-2E9C-101B-9397-08002B2CF9AE}" pid="8" name="MSIP_Label_fe514134-a9b1-4a98-981b-1949b898a3a5_SiteId">
    <vt:lpwstr>258ac4e4-146a-411e-9dc8-79a9e12fd6da</vt:lpwstr>
  </property>
  <property fmtid="{D5CDD505-2E9C-101B-9397-08002B2CF9AE}" pid="9" name="MSIP_Label_fe514134-a9b1-4a98-981b-1949b898a3a5_ActionId">
    <vt:lpwstr>2e9576d0-9989-4381-8dd7-6f8769af9b13</vt:lpwstr>
  </property>
  <property fmtid="{D5CDD505-2E9C-101B-9397-08002B2CF9AE}" pid="10" name="MSIP_Label_fe514134-a9b1-4a98-981b-1949b898a3a5_ContentBits">
    <vt:lpwstr>2</vt:lpwstr>
  </property>
  <property fmtid="{D5CDD505-2E9C-101B-9397-08002B2CF9AE}" pid="11" name="MSIP_Label_fe514134-a9b1-4a98-981b-1949b898a3a5_Tag">
    <vt:lpwstr>10, 0, 1, 1</vt:lpwstr>
  </property>
</Properties>
</file>